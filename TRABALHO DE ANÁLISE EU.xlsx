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sofiaaraujo_ua_pt/Documents/"/>
    </mc:Choice>
  </mc:AlternateContent>
  <xr:revisionPtr revIDLastSave="765" documentId="8_{E445AA8A-AAD1-4ADF-8F25-E73DD27FDEC2}" xr6:coauthVersionLast="47" xr6:coauthVersionMax="47" xr10:uidLastSave="{AB7A9182-A7DA-4C76-AC69-00DB9788A7C8}"/>
  <bookViews>
    <workbookView xWindow="11424" yWindow="0" windowWidth="11712" windowHeight="12336" tabRatio="834" xr2:uid="{00000000-000D-0000-FFFF-FFFF00000000}"/>
  </bookViews>
  <sheets>
    <sheet name="Balanço Contab" sheetId="1" r:id="rId1"/>
    <sheet name="Balanço Funcional" sheetId="7" r:id="rId2"/>
    <sheet name="DR Contab" sheetId="2" r:id="rId3"/>
    <sheet name="DFC" sheetId="3" r:id="rId4"/>
    <sheet name="Técnicas" sheetId="4" r:id="rId5"/>
    <sheet name="Folha1" sheetId="11" r:id="rId6"/>
    <sheet name="Equilibrío Financeiro" sheetId="10" r:id="rId7"/>
    <sheet name="Inf adicionai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G7" i="2"/>
  <c r="N110" i="10"/>
  <c r="L110" i="10"/>
  <c r="J110" i="10"/>
  <c r="N99" i="10"/>
  <c r="L99" i="10"/>
  <c r="J99" i="10"/>
  <c r="F114" i="10"/>
  <c r="G114" i="10"/>
  <c r="F113" i="10"/>
  <c r="G113" i="10"/>
  <c r="F112" i="10"/>
  <c r="G112" i="10"/>
  <c r="F111" i="10"/>
  <c r="G111" i="10"/>
  <c r="E111" i="10"/>
  <c r="F110" i="10"/>
  <c r="G110" i="10"/>
  <c r="E110" i="10"/>
  <c r="G109" i="10"/>
  <c r="G108" i="10"/>
  <c r="F107" i="10"/>
  <c r="G107" i="10"/>
  <c r="G106" i="10"/>
  <c r="G105" i="10"/>
  <c r="F104" i="10"/>
  <c r="G104" i="10"/>
  <c r="F103" i="10"/>
  <c r="G103" i="10"/>
  <c r="F102" i="10"/>
  <c r="G102" i="10"/>
  <c r="E102" i="10"/>
  <c r="F101" i="10"/>
  <c r="G101" i="10"/>
  <c r="F100" i="10"/>
  <c r="G100" i="10"/>
  <c r="E100" i="10"/>
  <c r="F99" i="10"/>
  <c r="G99" i="10"/>
  <c r="F75" i="10"/>
  <c r="G75" i="10"/>
  <c r="E75" i="10"/>
  <c r="F72" i="10"/>
  <c r="G72" i="10"/>
  <c r="E72" i="10"/>
  <c r="F69" i="10"/>
  <c r="G69" i="10"/>
  <c r="E69" i="10"/>
  <c r="E42" i="10" l="1"/>
  <c r="G50" i="10" l="1"/>
  <c r="F50" i="10"/>
  <c r="E50" i="10"/>
  <c r="G49" i="10"/>
  <c r="F49" i="10"/>
  <c r="E49" i="10"/>
  <c r="G48" i="10"/>
  <c r="G134" i="10" s="1"/>
  <c r="F48" i="10"/>
  <c r="F134" i="10" s="1"/>
  <c r="E48" i="10"/>
  <c r="E134" i="10" s="1"/>
  <c r="G13" i="10"/>
  <c r="F13" i="10"/>
  <c r="E13" i="10"/>
  <c r="D13" i="10"/>
  <c r="G11" i="10"/>
  <c r="F11" i="10"/>
  <c r="E12" i="10"/>
  <c r="E11" i="10"/>
  <c r="D31" i="10"/>
  <c r="D30" i="10"/>
  <c r="D27" i="10"/>
  <c r="D26" i="10"/>
  <c r="D25" i="10"/>
  <c r="D23" i="10"/>
  <c r="D21" i="10"/>
  <c r="G18" i="10"/>
  <c r="F18" i="10"/>
  <c r="G19" i="10" s="1"/>
  <c r="D18" i="10"/>
  <c r="D16" i="10"/>
  <c r="D15" i="10"/>
  <c r="D12" i="10"/>
  <c r="D8" i="10"/>
  <c r="D6" i="10"/>
  <c r="D5" i="10"/>
  <c r="D58" i="7"/>
  <c r="E57" i="7"/>
  <c r="D57" i="7"/>
  <c r="D56" i="7"/>
  <c r="D52" i="7"/>
  <c r="D49" i="7"/>
  <c r="E49" i="7"/>
  <c r="D45" i="7"/>
  <c r="D44" i="7"/>
  <c r="D38" i="7"/>
  <c r="D28" i="7"/>
  <c r="D27" i="7"/>
  <c r="D22" i="7"/>
  <c r="D20" i="7"/>
  <c r="D15" i="7"/>
  <c r="E14" i="10" l="1"/>
  <c r="E103" i="10" s="1"/>
  <c r="G45" i="10"/>
  <c r="F45" i="10"/>
  <c r="E45" i="10"/>
  <c r="G43" i="10"/>
  <c r="F43" i="10"/>
  <c r="E43" i="10"/>
  <c r="G42" i="10"/>
  <c r="F42" i="10"/>
  <c r="G63" i="10" l="1"/>
  <c r="F63" i="10"/>
  <c r="E63" i="10"/>
  <c r="G41" i="10"/>
  <c r="F41" i="10"/>
  <c r="E41" i="10"/>
  <c r="G28" i="10"/>
  <c r="F28" i="10"/>
  <c r="E28" i="10"/>
  <c r="D16" i="9"/>
  <c r="E16" i="9"/>
  <c r="C16" i="9"/>
  <c r="C8" i="9"/>
  <c r="D8" i="9"/>
  <c r="E8" i="9"/>
  <c r="E102" i="1"/>
  <c r="F102" i="1"/>
  <c r="D102" i="1"/>
  <c r="D104" i="1" s="1"/>
  <c r="D105" i="1" s="1"/>
  <c r="E94" i="1"/>
  <c r="E104" i="1" s="1"/>
  <c r="E105" i="1" s="1"/>
  <c r="F94" i="1"/>
  <c r="D94" i="1"/>
  <c r="F51" i="7"/>
  <c r="G51" i="7"/>
  <c r="E51" i="7"/>
  <c r="F49" i="7"/>
  <c r="G49" i="7"/>
  <c r="F55" i="7"/>
  <c r="G55" i="7"/>
  <c r="E55" i="7"/>
  <c r="C47" i="7"/>
  <c r="F54" i="7"/>
  <c r="G54" i="7"/>
  <c r="E54" i="7"/>
  <c r="C54" i="7"/>
  <c r="B54" i="7"/>
  <c r="F47" i="7"/>
  <c r="F27" i="10" s="1"/>
  <c r="G47" i="7"/>
  <c r="G27" i="10" s="1"/>
  <c r="F48" i="7"/>
  <c r="G48" i="7"/>
  <c r="F50" i="7"/>
  <c r="G50" i="7"/>
  <c r="E48" i="7"/>
  <c r="E50" i="7"/>
  <c r="E47" i="7"/>
  <c r="E27" i="10" s="1"/>
  <c r="B51" i="7"/>
  <c r="C51" i="7"/>
  <c r="B48" i="7"/>
  <c r="C48" i="7"/>
  <c r="B49" i="7"/>
  <c r="C49" i="7"/>
  <c r="B50" i="7"/>
  <c r="C50" i="7"/>
  <c r="B47" i="7"/>
  <c r="F41" i="7"/>
  <c r="G41" i="7"/>
  <c r="F42" i="7"/>
  <c r="G42" i="7"/>
  <c r="F43" i="7"/>
  <c r="G43" i="7"/>
  <c r="E41" i="7"/>
  <c r="E42" i="7"/>
  <c r="E43" i="7"/>
  <c r="B42" i="7"/>
  <c r="C42" i="7"/>
  <c r="B43" i="7"/>
  <c r="C43" i="7"/>
  <c r="B41" i="7"/>
  <c r="E32" i="7"/>
  <c r="F32" i="7"/>
  <c r="G32" i="7"/>
  <c r="E33" i="7"/>
  <c r="F33" i="7"/>
  <c r="G33" i="7"/>
  <c r="E34" i="7"/>
  <c r="F34" i="7"/>
  <c r="G34" i="7"/>
  <c r="E35" i="7"/>
  <c r="F35" i="7"/>
  <c r="G35" i="7"/>
  <c r="E36" i="7"/>
  <c r="F36" i="7"/>
  <c r="G36" i="7"/>
  <c r="E37" i="7"/>
  <c r="F37" i="7"/>
  <c r="G37" i="7"/>
  <c r="F31" i="7"/>
  <c r="G31" i="7"/>
  <c r="E31" i="7"/>
  <c r="C32" i="7"/>
  <c r="C33" i="7"/>
  <c r="C34" i="7"/>
  <c r="C35" i="7"/>
  <c r="C36" i="7"/>
  <c r="C31" i="7"/>
  <c r="B32" i="7"/>
  <c r="B33" i="7"/>
  <c r="B34" i="7"/>
  <c r="B35" i="7"/>
  <c r="B36" i="7"/>
  <c r="B37" i="7"/>
  <c r="B31" i="7"/>
  <c r="F21" i="7"/>
  <c r="G21" i="7"/>
  <c r="E21" i="7"/>
  <c r="B21" i="7"/>
  <c r="C21" i="7"/>
  <c r="F14" i="7"/>
  <c r="G14" i="7"/>
  <c r="E14" i="7"/>
  <c r="F25" i="7"/>
  <c r="G25" i="7"/>
  <c r="E25" i="7"/>
  <c r="F20" i="7"/>
  <c r="G20" i="7"/>
  <c r="E20" i="7"/>
  <c r="C20" i="7"/>
  <c r="B20" i="7"/>
  <c r="E86" i="1"/>
  <c r="F86" i="1"/>
  <c r="D86" i="1"/>
  <c r="G29" i="10" l="1"/>
  <c r="G135" i="10"/>
  <c r="F29" i="10"/>
  <c r="E29" i="10"/>
  <c r="E104" i="10" s="1"/>
  <c r="E135" i="10"/>
  <c r="F135" i="10"/>
  <c r="F104" i="1"/>
  <c r="F105" i="1" s="1"/>
  <c r="E52" i="7"/>
  <c r="F52" i="7"/>
  <c r="G52" i="7"/>
  <c r="G38" i="7"/>
  <c r="F38" i="7"/>
  <c r="F19" i="7"/>
  <c r="G19" i="7"/>
  <c r="E19" i="7"/>
  <c r="F82" i="4"/>
  <c r="E82" i="4"/>
  <c r="D82" i="4"/>
  <c r="H81" i="4"/>
  <c r="E81" i="4"/>
  <c r="F81" i="4"/>
  <c r="D79" i="4"/>
  <c r="E79" i="4"/>
  <c r="F79" i="4"/>
  <c r="D75" i="4"/>
  <c r="E75" i="4"/>
  <c r="F75" i="4"/>
  <c r="E74" i="4"/>
  <c r="F74" i="4"/>
  <c r="D61" i="4"/>
  <c r="E61" i="4"/>
  <c r="F61" i="4"/>
  <c r="D62" i="4"/>
  <c r="E62" i="4"/>
  <c r="F62" i="4"/>
  <c r="D63" i="4"/>
  <c r="E63" i="4"/>
  <c r="F63" i="4"/>
  <c r="D64" i="4"/>
  <c r="E64" i="4"/>
  <c r="F64" i="4"/>
  <c r="D65" i="4"/>
  <c r="E65" i="4"/>
  <c r="F65" i="4"/>
  <c r="D66" i="4"/>
  <c r="E66" i="4"/>
  <c r="F66" i="4"/>
  <c r="D67" i="4"/>
  <c r="E67" i="4"/>
  <c r="F67" i="4"/>
  <c r="D68" i="4"/>
  <c r="E68" i="4"/>
  <c r="F68" i="4"/>
  <c r="D69" i="4"/>
  <c r="E69" i="4"/>
  <c r="F69" i="4"/>
  <c r="D70" i="4"/>
  <c r="E70" i="4"/>
  <c r="F70" i="4"/>
  <c r="D71" i="4"/>
  <c r="E71" i="4"/>
  <c r="F71" i="4"/>
  <c r="D72" i="4"/>
  <c r="E72" i="4"/>
  <c r="F72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F21" i="10" l="1"/>
  <c r="F23" i="10"/>
  <c r="G23" i="10"/>
  <c r="G24" i="10" s="1"/>
  <c r="G21" i="10"/>
  <c r="G69" i="7"/>
  <c r="F69" i="7"/>
  <c r="E69" i="7"/>
  <c r="H82" i="4"/>
  <c r="G82" i="4"/>
  <c r="B26" i="7"/>
  <c r="F26" i="7"/>
  <c r="F15" i="10" s="1"/>
  <c r="G26" i="7"/>
  <c r="G15" i="10" s="1"/>
  <c r="E26" i="7"/>
  <c r="E15" i="10" s="1"/>
  <c r="F24" i="7"/>
  <c r="G24" i="7"/>
  <c r="E24" i="7"/>
  <c r="E8" i="7"/>
  <c r="C17" i="7"/>
  <c r="E17" i="7"/>
  <c r="E8" i="10" s="1"/>
  <c r="F17" i="7"/>
  <c r="F8" i="10" s="1"/>
  <c r="G17" i="7"/>
  <c r="G8" i="10" s="1"/>
  <c r="C18" i="7"/>
  <c r="E18" i="7"/>
  <c r="F18" i="7"/>
  <c r="F12" i="10" s="1"/>
  <c r="G18" i="7"/>
  <c r="G12" i="10" s="1"/>
  <c r="C19" i="7"/>
  <c r="B18" i="7"/>
  <c r="B19" i="7"/>
  <c r="B17" i="7"/>
  <c r="B9" i="7"/>
  <c r="C9" i="7"/>
  <c r="E9" i="7"/>
  <c r="F9" i="7"/>
  <c r="G9" i="7"/>
  <c r="B10" i="7"/>
  <c r="C10" i="7"/>
  <c r="E10" i="7"/>
  <c r="F10" i="7"/>
  <c r="G10" i="7"/>
  <c r="B11" i="7"/>
  <c r="C11" i="7"/>
  <c r="E11" i="7"/>
  <c r="F11" i="7"/>
  <c r="G11" i="7"/>
  <c r="B12" i="7"/>
  <c r="E12" i="7"/>
  <c r="F12" i="7"/>
  <c r="G12" i="7"/>
  <c r="B13" i="7"/>
  <c r="C13" i="7"/>
  <c r="E13" i="7"/>
  <c r="F13" i="7"/>
  <c r="G13" i="7"/>
  <c r="C8" i="7"/>
  <c r="F8" i="7"/>
  <c r="F6" i="10" s="1"/>
  <c r="G8" i="7"/>
  <c r="G6" i="10" s="1"/>
  <c r="B8" i="7"/>
  <c r="F18" i="4"/>
  <c r="F19" i="4"/>
  <c r="F20" i="4"/>
  <c r="AK20" i="4" s="1"/>
  <c r="F21" i="4"/>
  <c r="AA21" i="4" s="1"/>
  <c r="F22" i="4"/>
  <c r="E18" i="4"/>
  <c r="E19" i="4"/>
  <c r="Y19" i="4" s="1"/>
  <c r="E20" i="4"/>
  <c r="AI20" i="4" s="1"/>
  <c r="E21" i="4"/>
  <c r="AI21" i="4" s="1"/>
  <c r="E22" i="4"/>
  <c r="D18" i="4"/>
  <c r="AG18" i="4" s="1"/>
  <c r="AH18" i="4" s="1"/>
  <c r="D19" i="4"/>
  <c r="AG19" i="4" s="1"/>
  <c r="D20" i="4"/>
  <c r="M20" i="4" s="1"/>
  <c r="D21" i="4"/>
  <c r="D22" i="4"/>
  <c r="AG22" i="4" s="1"/>
  <c r="AH22" i="4" s="1"/>
  <c r="B18" i="4"/>
  <c r="U18" i="4" s="1"/>
  <c r="B19" i="4"/>
  <c r="U19" i="4" s="1"/>
  <c r="B20" i="4"/>
  <c r="B21" i="4"/>
  <c r="K21" i="4" s="1"/>
  <c r="B22" i="4"/>
  <c r="K22" i="4" s="1"/>
  <c r="B17" i="4"/>
  <c r="D46" i="4"/>
  <c r="W46" i="4" s="1"/>
  <c r="X46" i="4" s="1"/>
  <c r="E46" i="4"/>
  <c r="F46" i="4"/>
  <c r="Q46" i="4" s="1"/>
  <c r="D47" i="4"/>
  <c r="E47" i="4"/>
  <c r="F47" i="4"/>
  <c r="AK47" i="4" s="1"/>
  <c r="D48" i="4"/>
  <c r="M48" i="4" s="1"/>
  <c r="E48" i="4"/>
  <c r="F48" i="4"/>
  <c r="AA48" i="4" s="1"/>
  <c r="D49" i="4"/>
  <c r="M49" i="4" s="1"/>
  <c r="E49" i="4"/>
  <c r="O49" i="4" s="1"/>
  <c r="F49" i="4"/>
  <c r="D50" i="4"/>
  <c r="E50" i="4"/>
  <c r="AI50" i="4" s="1"/>
  <c r="F50" i="4"/>
  <c r="AK50" i="4" s="1"/>
  <c r="E45" i="4"/>
  <c r="F45" i="4"/>
  <c r="AA45" i="4" s="1"/>
  <c r="D45" i="4"/>
  <c r="AG45" i="4" s="1"/>
  <c r="B46" i="4"/>
  <c r="K46" i="4" s="1"/>
  <c r="B47" i="4"/>
  <c r="B48" i="4"/>
  <c r="B49" i="4"/>
  <c r="AE49" i="4" s="1"/>
  <c r="B50" i="4"/>
  <c r="K50" i="4" s="1"/>
  <c r="B45" i="4"/>
  <c r="D41" i="4"/>
  <c r="M41" i="4" s="1"/>
  <c r="E41" i="4"/>
  <c r="Y41" i="4" s="1"/>
  <c r="F41" i="4"/>
  <c r="Q41" i="4" s="1"/>
  <c r="D42" i="4"/>
  <c r="E42" i="4"/>
  <c r="AI42" i="4" s="1"/>
  <c r="F42" i="4"/>
  <c r="AK42" i="4" s="1"/>
  <c r="E40" i="4"/>
  <c r="O40" i="4" s="1"/>
  <c r="F40" i="4"/>
  <c r="D40" i="4"/>
  <c r="W40" i="4" s="1"/>
  <c r="B41" i="4"/>
  <c r="U41" i="4" s="1"/>
  <c r="B42" i="4"/>
  <c r="B40" i="4"/>
  <c r="D30" i="4"/>
  <c r="E30" i="4"/>
  <c r="Y30" i="4" s="1"/>
  <c r="F30" i="4"/>
  <c r="Q30" i="4" s="1"/>
  <c r="D31" i="4"/>
  <c r="E31" i="4"/>
  <c r="F31" i="4"/>
  <c r="Q31" i="4" s="1"/>
  <c r="D32" i="4"/>
  <c r="E32" i="4"/>
  <c r="F32" i="4"/>
  <c r="D33" i="4"/>
  <c r="M33" i="4" s="1"/>
  <c r="E33" i="4"/>
  <c r="O33" i="4" s="1"/>
  <c r="F33" i="4"/>
  <c r="D34" i="4"/>
  <c r="AG34" i="4" s="1"/>
  <c r="AH34" i="4" s="1"/>
  <c r="E34" i="4"/>
  <c r="AI34" i="4" s="1"/>
  <c r="F34" i="4"/>
  <c r="Q34" i="4" s="1"/>
  <c r="D35" i="4"/>
  <c r="AG35" i="4" s="1"/>
  <c r="E35" i="4"/>
  <c r="F35" i="4"/>
  <c r="Q35" i="4" s="1"/>
  <c r="E29" i="4"/>
  <c r="F29" i="4"/>
  <c r="AK29" i="4" s="1"/>
  <c r="D29" i="4"/>
  <c r="AG29" i="4" s="1"/>
  <c r="B30" i="4"/>
  <c r="K30" i="4" s="1"/>
  <c r="B31" i="4"/>
  <c r="B32" i="4"/>
  <c r="AE32" i="4" s="1"/>
  <c r="B33" i="4"/>
  <c r="AE33" i="4" s="1"/>
  <c r="B34" i="4"/>
  <c r="K34" i="4" s="1"/>
  <c r="B35" i="4"/>
  <c r="B29" i="4"/>
  <c r="U29" i="4" s="1"/>
  <c r="E17" i="4"/>
  <c r="F17" i="4"/>
  <c r="AK17" i="4" s="1"/>
  <c r="D17" i="4"/>
  <c r="W17" i="4" s="1"/>
  <c r="D10" i="4"/>
  <c r="E10" i="4"/>
  <c r="F10" i="4"/>
  <c r="Q10" i="4" s="1"/>
  <c r="D11" i="4"/>
  <c r="W11" i="4" s="1"/>
  <c r="X11" i="4" s="1"/>
  <c r="E11" i="4"/>
  <c r="F11" i="4"/>
  <c r="AK11" i="4" s="1"/>
  <c r="D12" i="4"/>
  <c r="M12" i="4" s="1"/>
  <c r="E12" i="4"/>
  <c r="O12" i="4" s="1"/>
  <c r="F12" i="4"/>
  <c r="D13" i="4"/>
  <c r="E13" i="4"/>
  <c r="Y13" i="4" s="1"/>
  <c r="F13" i="4"/>
  <c r="D14" i="4"/>
  <c r="M14" i="4" s="1"/>
  <c r="E14" i="4"/>
  <c r="F14" i="4"/>
  <c r="AA14" i="4" s="1"/>
  <c r="E9" i="4"/>
  <c r="AI9" i="4" s="1"/>
  <c r="F9" i="4"/>
  <c r="Q9" i="4" s="1"/>
  <c r="D9" i="4"/>
  <c r="B10" i="4"/>
  <c r="K10" i="4" s="1"/>
  <c r="B11" i="4"/>
  <c r="K11" i="4" s="1"/>
  <c r="B12" i="4"/>
  <c r="K12" i="4" s="1"/>
  <c r="B13" i="4"/>
  <c r="B14" i="4"/>
  <c r="K14" i="4" s="1"/>
  <c r="B9" i="4"/>
  <c r="K9" i="4" s="1"/>
  <c r="E49" i="1"/>
  <c r="F49" i="1"/>
  <c r="E41" i="1"/>
  <c r="F41" i="1"/>
  <c r="E34" i="1"/>
  <c r="F34" i="1"/>
  <c r="E23" i="1"/>
  <c r="F23" i="1"/>
  <c r="E15" i="1"/>
  <c r="F15" i="1"/>
  <c r="G7" i="10" l="1"/>
  <c r="G22" i="10"/>
  <c r="F124" i="10"/>
  <c r="G9" i="10"/>
  <c r="G124" i="10"/>
  <c r="G14" i="10"/>
  <c r="F14" i="10"/>
  <c r="F9" i="10"/>
  <c r="E9" i="10"/>
  <c r="E101" i="10"/>
  <c r="E99" i="10"/>
  <c r="E6" i="10"/>
  <c r="E7" i="10" s="1"/>
  <c r="E106" i="10" s="1"/>
  <c r="G15" i="7"/>
  <c r="F15" i="7"/>
  <c r="E15" i="7"/>
  <c r="U21" i="4"/>
  <c r="AE30" i="4"/>
  <c r="AI19" i="4"/>
  <c r="AJ19" i="4" s="1"/>
  <c r="U22" i="4"/>
  <c r="W33" i="4"/>
  <c r="X33" i="4" s="1"/>
  <c r="M18" i="4"/>
  <c r="Q21" i="4"/>
  <c r="AA10" i="4"/>
  <c r="W49" i="4"/>
  <c r="X49" i="4" s="1"/>
  <c r="K18" i="4"/>
  <c r="Q20" i="4"/>
  <c r="Y21" i="4"/>
  <c r="U30" i="4"/>
  <c r="W48" i="4"/>
  <c r="X48" i="4" s="1"/>
  <c r="AK14" i="4"/>
  <c r="AI33" i="4"/>
  <c r="AK41" i="4"/>
  <c r="AA31" i="4"/>
  <c r="Q48" i="4"/>
  <c r="M19" i="4"/>
  <c r="AA20" i="4"/>
  <c r="W29" i="4"/>
  <c r="AA47" i="4"/>
  <c r="AK31" i="4"/>
  <c r="W14" i="4"/>
  <c r="AB14" i="4" s="1"/>
  <c r="AG17" i="4"/>
  <c r="AK34" i="4"/>
  <c r="AL34" i="4" s="1"/>
  <c r="G19" i="4"/>
  <c r="M22" i="4"/>
  <c r="O20" i="4"/>
  <c r="U9" i="4"/>
  <c r="U10" i="4"/>
  <c r="W12" i="4"/>
  <c r="Y20" i="4"/>
  <c r="AA35" i="4"/>
  <c r="AA30" i="4"/>
  <c r="W41" i="4"/>
  <c r="AE14" i="4"/>
  <c r="AG14" i="4"/>
  <c r="AH14" i="4" s="1"/>
  <c r="AI40" i="4"/>
  <c r="U12" i="4"/>
  <c r="U11" i="4"/>
  <c r="AE50" i="4"/>
  <c r="O19" i="4"/>
  <c r="U14" i="4"/>
  <c r="W22" i="4"/>
  <c r="X22" i="4" s="1"/>
  <c r="W19" i="4"/>
  <c r="X19" i="4" s="1"/>
  <c r="U34" i="4"/>
  <c r="W34" i="4"/>
  <c r="X34" i="4" s="1"/>
  <c r="AA42" i="4"/>
  <c r="AE12" i="4"/>
  <c r="AI13" i="4"/>
  <c r="AK21" i="4"/>
  <c r="AL21" i="4" s="1"/>
  <c r="AK35" i="4"/>
  <c r="U20" i="4"/>
  <c r="K20" i="4"/>
  <c r="W21" i="4"/>
  <c r="X21" i="4" s="1"/>
  <c r="M21" i="4"/>
  <c r="AG21" i="4"/>
  <c r="O22" i="4"/>
  <c r="G22" i="4"/>
  <c r="AI22" i="4"/>
  <c r="Y18" i="4"/>
  <c r="O18" i="4"/>
  <c r="G18" i="4"/>
  <c r="AK19" i="4"/>
  <c r="Q19" i="4"/>
  <c r="AA19" i="4"/>
  <c r="H19" i="4"/>
  <c r="AE17" i="4"/>
  <c r="U17" i="4"/>
  <c r="W20" i="4"/>
  <c r="X20" i="4" s="1"/>
  <c r="AG20" i="4"/>
  <c r="AK22" i="4"/>
  <c r="AA22" i="4"/>
  <c r="H22" i="4"/>
  <c r="AK18" i="4"/>
  <c r="H18" i="4"/>
  <c r="K19" i="4"/>
  <c r="Q18" i="4"/>
  <c r="AI18" i="4"/>
  <c r="K13" i="4"/>
  <c r="AE13" i="4"/>
  <c r="U13" i="4"/>
  <c r="M9" i="4"/>
  <c r="AG9" i="4"/>
  <c r="W9" i="4"/>
  <c r="O14" i="4"/>
  <c r="Y14" i="4"/>
  <c r="AI14" i="4"/>
  <c r="M13" i="4"/>
  <c r="W13" i="4"/>
  <c r="X13" i="4" s="1"/>
  <c r="Q11" i="4"/>
  <c r="AA11" i="4"/>
  <c r="AB11" i="4" s="1"/>
  <c r="O10" i="4"/>
  <c r="Y10" i="4"/>
  <c r="AI10" i="4"/>
  <c r="AI17" i="4"/>
  <c r="Y17" i="4"/>
  <c r="K33" i="4"/>
  <c r="U33" i="4"/>
  <c r="O35" i="4"/>
  <c r="AI35" i="4"/>
  <c r="AJ35" i="4" s="1"/>
  <c r="Q32" i="4"/>
  <c r="AK32" i="4"/>
  <c r="O31" i="4"/>
  <c r="Y31" i="4"/>
  <c r="AI31" i="4"/>
  <c r="AG30" i="4"/>
  <c r="AH30" i="4" s="1"/>
  <c r="W30" i="4"/>
  <c r="X30" i="4" s="1"/>
  <c r="M40" i="4"/>
  <c r="AG40" i="4"/>
  <c r="K48" i="4"/>
  <c r="AE48" i="4"/>
  <c r="Q45" i="4"/>
  <c r="AK45" i="4"/>
  <c r="M50" i="4"/>
  <c r="AG50" i="4"/>
  <c r="AH50" i="4" s="1"/>
  <c r="W50" i="4"/>
  <c r="X50" i="4" s="1"/>
  <c r="O47" i="4"/>
  <c r="AI47" i="4"/>
  <c r="Y47" i="4"/>
  <c r="M46" i="4"/>
  <c r="AG46" i="4"/>
  <c r="AH46" i="4" s="1"/>
  <c r="AH19" i="4"/>
  <c r="H21" i="4"/>
  <c r="K17" i="4"/>
  <c r="Q22" i="4"/>
  <c r="X12" i="4"/>
  <c r="Y22" i="4"/>
  <c r="AA18" i="4"/>
  <c r="Y35" i="4"/>
  <c r="AA32" i="4"/>
  <c r="Y42" i="4"/>
  <c r="U48" i="4"/>
  <c r="AH35" i="4"/>
  <c r="AK48" i="4"/>
  <c r="Q12" i="4"/>
  <c r="AK12" i="4"/>
  <c r="AA12" i="4"/>
  <c r="O11" i="4"/>
  <c r="Y11" i="4"/>
  <c r="Z11" i="4" s="1"/>
  <c r="AI11" i="4"/>
  <c r="M10" i="4"/>
  <c r="AG10" i="4"/>
  <c r="AH10" i="4" s="1"/>
  <c r="K29" i="4"/>
  <c r="AE29" i="4"/>
  <c r="K32" i="4"/>
  <c r="U32" i="4"/>
  <c r="Q29" i="4"/>
  <c r="AA29" i="4"/>
  <c r="M35" i="4"/>
  <c r="W35" i="4"/>
  <c r="X35" i="4" s="1"/>
  <c r="Q33" i="4"/>
  <c r="AK33" i="4"/>
  <c r="AA33" i="4"/>
  <c r="Y32" i="4"/>
  <c r="AI32" i="4"/>
  <c r="M31" i="4"/>
  <c r="W31" i="4"/>
  <c r="X31" i="4" s="1"/>
  <c r="AG31" i="4"/>
  <c r="K40" i="4"/>
  <c r="U40" i="4"/>
  <c r="AE40" i="4"/>
  <c r="Q40" i="4"/>
  <c r="AA40" i="4"/>
  <c r="AK40" i="4"/>
  <c r="M42" i="4"/>
  <c r="AG42" i="4"/>
  <c r="W42" i="4"/>
  <c r="K45" i="4"/>
  <c r="AE45" i="4"/>
  <c r="U45" i="4"/>
  <c r="K47" i="4"/>
  <c r="AE47" i="4"/>
  <c r="O45" i="4"/>
  <c r="AI45" i="4"/>
  <c r="Y45" i="4"/>
  <c r="Q49" i="4"/>
  <c r="AA49" i="4"/>
  <c r="AK49" i="4"/>
  <c r="Y48" i="4"/>
  <c r="AI48" i="4"/>
  <c r="M47" i="4"/>
  <c r="W47" i="4"/>
  <c r="AG47" i="4"/>
  <c r="AH47" i="4" s="1"/>
  <c r="M29" i="4"/>
  <c r="G21" i="4"/>
  <c r="O21" i="4"/>
  <c r="AA9" i="4"/>
  <c r="W10" i="4"/>
  <c r="X10" i="4" s="1"/>
  <c r="U47" i="4"/>
  <c r="AK9" i="4"/>
  <c r="AG13" i="4"/>
  <c r="AH13" i="4" s="1"/>
  <c r="AG41" i="4"/>
  <c r="AH41" i="4" s="1"/>
  <c r="O9" i="4"/>
  <c r="Y9" i="4"/>
  <c r="Q13" i="4"/>
  <c r="AK13" i="4"/>
  <c r="AA13" i="4"/>
  <c r="M11" i="4"/>
  <c r="AG11" i="4"/>
  <c r="AH11" i="4" s="1"/>
  <c r="K35" i="4"/>
  <c r="AE35" i="4"/>
  <c r="U35" i="4"/>
  <c r="K31" i="4"/>
  <c r="AE31" i="4"/>
  <c r="U31" i="4"/>
  <c r="O29" i="4"/>
  <c r="AI29" i="4"/>
  <c r="M32" i="4"/>
  <c r="AG32" i="4"/>
  <c r="AH32" i="4" s="1"/>
  <c r="K42" i="4"/>
  <c r="U42" i="4"/>
  <c r="Q50" i="4"/>
  <c r="AA50" i="4"/>
  <c r="AL20" i="4"/>
  <c r="H20" i="4"/>
  <c r="Y29" i="4"/>
  <c r="Y40" i="4"/>
  <c r="U46" i="4"/>
  <c r="AA46" i="4"/>
  <c r="AB46" i="4" s="1"/>
  <c r="AE11" i="4"/>
  <c r="AI12" i="4"/>
  <c r="AJ34" i="4"/>
  <c r="AE42" i="4"/>
  <c r="AL42" i="4"/>
  <c r="AL50" i="4"/>
  <c r="AI49" i="4"/>
  <c r="AG48" i="4"/>
  <c r="AH48" i="4" s="1"/>
  <c r="O34" i="4"/>
  <c r="Y34" i="4"/>
  <c r="O30" i="4"/>
  <c r="AI30" i="4"/>
  <c r="K41" i="4"/>
  <c r="AE41" i="4"/>
  <c r="H42" i="4"/>
  <c r="K49" i="4"/>
  <c r="U49" i="4"/>
  <c r="M45" i="4"/>
  <c r="W45" i="4"/>
  <c r="G50" i="4"/>
  <c r="H47" i="4"/>
  <c r="G46" i="4"/>
  <c r="AI46" i="4"/>
  <c r="Y46" i="4"/>
  <c r="Z46" i="4" s="1"/>
  <c r="G20" i="4"/>
  <c r="Y12" i="4"/>
  <c r="AA17" i="4"/>
  <c r="W18" i="4"/>
  <c r="X18" i="4" s="1"/>
  <c r="AA34" i="4"/>
  <c r="Y33" i="4"/>
  <c r="W32" i="4"/>
  <c r="X32" i="4" s="1"/>
  <c r="AA41" i="4"/>
  <c r="U50" i="4"/>
  <c r="Y50" i="4"/>
  <c r="Y49" i="4"/>
  <c r="AE34" i="4"/>
  <c r="AE9" i="4"/>
  <c r="AE10" i="4"/>
  <c r="AG12" i="4"/>
  <c r="AH12" i="4" s="1"/>
  <c r="AK10" i="4"/>
  <c r="AG33" i="4"/>
  <c r="AH33" i="4" s="1"/>
  <c r="AK30" i="4"/>
  <c r="AI41" i="4"/>
  <c r="AE46" i="4"/>
  <c r="AG49" i="4"/>
  <c r="AH49" i="4" s="1"/>
  <c r="AK46" i="4"/>
  <c r="H41" i="4"/>
  <c r="O41" i="4"/>
  <c r="G32" i="4"/>
  <c r="G48" i="4"/>
  <c r="H49" i="4"/>
  <c r="H14" i="4"/>
  <c r="G13" i="4"/>
  <c r="H34" i="4"/>
  <c r="G33" i="4"/>
  <c r="H30" i="4"/>
  <c r="H50" i="4"/>
  <c r="G49" i="4"/>
  <c r="H46" i="4"/>
  <c r="O32" i="4"/>
  <c r="Q42" i="4"/>
  <c r="O50" i="4"/>
  <c r="O46" i="4"/>
  <c r="Q47" i="4"/>
  <c r="G17" i="4"/>
  <c r="M17" i="4"/>
  <c r="G35" i="4"/>
  <c r="G34" i="4"/>
  <c r="H32" i="4"/>
  <c r="G31" i="4"/>
  <c r="G30" i="4"/>
  <c r="G42" i="4"/>
  <c r="H48" i="4"/>
  <c r="G47" i="4"/>
  <c r="O13" i="4"/>
  <c r="M34" i="4"/>
  <c r="M30" i="4"/>
  <c r="O42" i="4"/>
  <c r="O48" i="4"/>
  <c r="Q14" i="4"/>
  <c r="H17" i="4"/>
  <c r="H33" i="4"/>
  <c r="G41" i="4"/>
  <c r="H35" i="4"/>
  <c r="H31" i="4"/>
  <c r="G12" i="4"/>
  <c r="H10" i="4"/>
  <c r="H9" i="4"/>
  <c r="H12" i="4"/>
  <c r="G11" i="4"/>
  <c r="G14" i="4"/>
  <c r="H11" i="4"/>
  <c r="G10" i="4"/>
  <c r="H13" i="4"/>
  <c r="E24" i="1"/>
  <c r="F24" i="1"/>
  <c r="F50" i="1"/>
  <c r="F51" i="1" s="1"/>
  <c r="E50" i="1"/>
  <c r="E51" i="1" s="1"/>
  <c r="F7" i="10" l="1"/>
  <c r="F106" i="10" s="1"/>
  <c r="E66" i="7"/>
  <c r="E5" i="10"/>
  <c r="F66" i="7"/>
  <c r="F5" i="10"/>
  <c r="F131" i="10" s="1"/>
  <c r="G66" i="7"/>
  <c r="G5" i="10"/>
  <c r="G131" i="10" s="1"/>
  <c r="AB22" i="4"/>
  <c r="AL14" i="4"/>
  <c r="AB13" i="4"/>
  <c r="Z19" i="4"/>
  <c r="AI23" i="4"/>
  <c r="AL19" i="4"/>
  <c r="AI15" i="4"/>
  <c r="AJ14" i="4"/>
  <c r="Z48" i="4"/>
  <c r="AB48" i="4"/>
  <c r="AB34" i="4"/>
  <c r="AB47" i="4"/>
  <c r="Z21" i="4"/>
  <c r="Z35" i="4"/>
  <c r="AL13" i="4"/>
  <c r="AB49" i="4"/>
  <c r="AB12" i="4"/>
  <c r="AJ47" i="4"/>
  <c r="AJ10" i="4"/>
  <c r="Z14" i="4"/>
  <c r="AB35" i="4"/>
  <c r="AB50" i="4"/>
  <c r="X14" i="4"/>
  <c r="Z49" i="4"/>
  <c r="AJ49" i="4"/>
  <c r="Z50" i="4"/>
  <c r="Z12" i="4"/>
  <c r="Z34" i="4"/>
  <c r="AK43" i="4"/>
  <c r="AL12" i="4"/>
  <c r="AL31" i="4"/>
  <c r="AG51" i="4"/>
  <c r="Z18" i="4"/>
  <c r="AK36" i="4"/>
  <c r="Z22" i="4"/>
  <c r="AK23" i="4"/>
  <c r="Z13" i="4"/>
  <c r="AI36" i="4"/>
  <c r="AJ50" i="4"/>
  <c r="AB18" i="4"/>
  <c r="AB10" i="4"/>
  <c r="AL47" i="4"/>
  <c r="AL35" i="4"/>
  <c r="AB19" i="4"/>
  <c r="AL41" i="4"/>
  <c r="AJ41" i="4"/>
  <c r="AL46" i="4"/>
  <c r="AJ46" i="4"/>
  <c r="AB32" i="4"/>
  <c r="AH20" i="4"/>
  <c r="AJ20" i="4"/>
  <c r="AJ21" i="4"/>
  <c r="AH21" i="4"/>
  <c r="AK15" i="4"/>
  <c r="AL48" i="4"/>
  <c r="AJ48" i="4"/>
  <c r="AJ11" i="4"/>
  <c r="AG36" i="4"/>
  <c r="AG15" i="4"/>
  <c r="AL22" i="4"/>
  <c r="AJ22" i="4"/>
  <c r="AJ12" i="4"/>
  <c r="AI43" i="4"/>
  <c r="AB42" i="4"/>
  <c r="X42" i="4"/>
  <c r="AL32" i="4"/>
  <c r="AJ32" i="4"/>
  <c r="Z42" i="4"/>
  <c r="AK51" i="4"/>
  <c r="AG43" i="4"/>
  <c r="AL18" i="4"/>
  <c r="AJ18" i="4"/>
  <c r="AL11" i="4"/>
  <c r="Z10" i="4"/>
  <c r="AL10" i="4"/>
  <c r="AL30" i="4"/>
  <c r="AJ30" i="4"/>
  <c r="AJ13" i="4"/>
  <c r="AB20" i="4"/>
  <c r="AG23" i="4"/>
  <c r="Z20" i="4"/>
  <c r="Z47" i="4"/>
  <c r="X47" i="4"/>
  <c r="AL49" i="4"/>
  <c r="AI51" i="4"/>
  <c r="AJ42" i="4"/>
  <c r="AH42" i="4"/>
  <c r="AJ31" i="4"/>
  <c r="AH31" i="4"/>
  <c r="Z32" i="4"/>
  <c r="Z30" i="4"/>
  <c r="AB21" i="4"/>
  <c r="Z31" i="4"/>
  <c r="AB30" i="4"/>
  <c r="AB31" i="4"/>
  <c r="AK52" i="4" l="1"/>
  <c r="AK53" i="4" s="1"/>
  <c r="AI24" i="4"/>
  <c r="AG52" i="4"/>
  <c r="AK24" i="4"/>
  <c r="AI52" i="4"/>
  <c r="AI53" i="4" s="1"/>
  <c r="AG24" i="4"/>
  <c r="AG53" i="4"/>
  <c r="J66" i="1" l="1"/>
  <c r="K66" i="1"/>
  <c r="L66" i="1"/>
  <c r="D78" i="1"/>
  <c r="E78" i="1"/>
  <c r="F78" i="1"/>
  <c r="B57" i="7"/>
  <c r="B58" i="7"/>
  <c r="B28" i="7"/>
  <c r="B40" i="7"/>
  <c r="B30" i="7"/>
  <c r="B38" i="7"/>
  <c r="O81" i="4"/>
  <c r="Q81" i="4"/>
  <c r="AA81" i="4" s="1"/>
  <c r="O82" i="4"/>
  <c r="Q82" i="4"/>
  <c r="M82" i="4"/>
  <c r="D81" i="4"/>
  <c r="E77" i="4"/>
  <c r="O77" i="4" s="1"/>
  <c r="Y77" i="4" s="1"/>
  <c r="F77" i="4"/>
  <c r="Q77" i="4" s="1"/>
  <c r="AA77" i="4" s="1"/>
  <c r="O78" i="4"/>
  <c r="Q78" i="4"/>
  <c r="O79" i="4"/>
  <c r="Q79" i="4"/>
  <c r="M78" i="4"/>
  <c r="W78" i="4" s="1"/>
  <c r="M79" i="4"/>
  <c r="D77" i="4"/>
  <c r="M77" i="4" s="1"/>
  <c r="W77" i="4" s="1"/>
  <c r="O74" i="4"/>
  <c r="Q74" i="4"/>
  <c r="AA74" i="4" s="1"/>
  <c r="O75" i="4"/>
  <c r="Q75" i="4"/>
  <c r="M75" i="4"/>
  <c r="D74" i="4"/>
  <c r="M74" i="4" s="1"/>
  <c r="M61" i="4"/>
  <c r="O61" i="4"/>
  <c r="Q61" i="4"/>
  <c r="M62" i="4"/>
  <c r="O62" i="4"/>
  <c r="Y62" i="4" s="1"/>
  <c r="AI62" i="4" s="1"/>
  <c r="Q62" i="4"/>
  <c r="AA62" i="4" s="1"/>
  <c r="M64" i="4"/>
  <c r="W64" i="4" s="1"/>
  <c r="O64" i="4"/>
  <c r="Y64" i="4" s="1"/>
  <c r="AI64" i="4" s="1"/>
  <c r="Q64" i="4"/>
  <c r="AA64" i="4" s="1"/>
  <c r="M65" i="4"/>
  <c r="W65" i="4" s="1"/>
  <c r="O65" i="4"/>
  <c r="Y65" i="4" s="1"/>
  <c r="Q65" i="4"/>
  <c r="AA65" i="4" s="1"/>
  <c r="AK65" i="4" s="1"/>
  <c r="M66" i="4"/>
  <c r="W66" i="4" s="1"/>
  <c r="AG66" i="4" s="1"/>
  <c r="AH66" i="4" s="1"/>
  <c r="O66" i="4"/>
  <c r="Y66" i="4" s="1"/>
  <c r="AI66" i="4" s="1"/>
  <c r="Q66" i="4"/>
  <c r="AA66" i="4" s="1"/>
  <c r="M67" i="4"/>
  <c r="W67" i="4" s="1"/>
  <c r="AG67" i="4" s="1"/>
  <c r="AH67" i="4" s="1"/>
  <c r="O67" i="4"/>
  <c r="Q67" i="4"/>
  <c r="AA67" i="4" s="1"/>
  <c r="AB67" i="4" s="1"/>
  <c r="M68" i="4"/>
  <c r="O68" i="4"/>
  <c r="Y68" i="4" s="1"/>
  <c r="Q68" i="4"/>
  <c r="M69" i="4"/>
  <c r="O69" i="4"/>
  <c r="Y69" i="4" s="1"/>
  <c r="AI69" i="4" s="1"/>
  <c r="M70" i="4"/>
  <c r="O70" i="4"/>
  <c r="Y70" i="4" s="1"/>
  <c r="AI70" i="4" s="1"/>
  <c r="Q70" i="4"/>
  <c r="M71" i="4"/>
  <c r="O71" i="4"/>
  <c r="Y71" i="4" s="1"/>
  <c r="AI71" i="4" s="1"/>
  <c r="Q71" i="4"/>
  <c r="M72" i="4"/>
  <c r="W72" i="4" s="1"/>
  <c r="O72" i="4"/>
  <c r="Y72" i="4" s="1"/>
  <c r="Q72" i="4"/>
  <c r="E60" i="4"/>
  <c r="O60" i="4" s="1"/>
  <c r="F60" i="4"/>
  <c r="Q60" i="4" s="1"/>
  <c r="D60" i="4"/>
  <c r="M60" i="4" s="1"/>
  <c r="K61" i="4"/>
  <c r="U61" i="4" s="1"/>
  <c r="AE61" i="4" s="1"/>
  <c r="K62" i="4"/>
  <c r="U62" i="4" s="1"/>
  <c r="AE62" i="4" s="1"/>
  <c r="K63" i="4"/>
  <c r="U63" i="4" s="1"/>
  <c r="AE63" i="4" s="1"/>
  <c r="K64" i="4"/>
  <c r="U64" i="4" s="1"/>
  <c r="AE64" i="4" s="1"/>
  <c r="K65" i="4"/>
  <c r="K66" i="4"/>
  <c r="K67" i="4"/>
  <c r="U67" i="4" s="1"/>
  <c r="AE67" i="4" s="1"/>
  <c r="K68" i="4"/>
  <c r="K69" i="4"/>
  <c r="U69" i="4" s="1"/>
  <c r="AE69" i="4" s="1"/>
  <c r="K70" i="4"/>
  <c r="U70" i="4" s="1"/>
  <c r="AE70" i="4" s="1"/>
  <c r="K71" i="4"/>
  <c r="U71" i="4" s="1"/>
  <c r="AE71" i="4" s="1"/>
  <c r="K72" i="4"/>
  <c r="K73" i="4"/>
  <c r="U73" i="4" s="1"/>
  <c r="AE73" i="4" s="1"/>
  <c r="K74" i="4"/>
  <c r="K75" i="4"/>
  <c r="U75" i="4" s="1"/>
  <c r="AE75" i="4" s="1"/>
  <c r="K76" i="4"/>
  <c r="U76" i="4" s="1"/>
  <c r="AE76" i="4" s="1"/>
  <c r="K77" i="4"/>
  <c r="U77" i="4" s="1"/>
  <c r="AE77" i="4" s="1"/>
  <c r="K78" i="4"/>
  <c r="U78" i="4" s="1"/>
  <c r="AE78" i="4" s="1"/>
  <c r="K79" i="4"/>
  <c r="U79" i="4" s="1"/>
  <c r="AE79" i="4" s="1"/>
  <c r="K80" i="4"/>
  <c r="U80" i="4" s="1"/>
  <c r="AE80" i="4" s="1"/>
  <c r="K81" i="4"/>
  <c r="U81" i="4" s="1"/>
  <c r="AE81" i="4" s="1"/>
  <c r="K82" i="4"/>
  <c r="U82" i="4" s="1"/>
  <c r="AE82" i="4" s="1"/>
  <c r="K83" i="4"/>
  <c r="U83" i="4" s="1"/>
  <c r="AE83" i="4" s="1"/>
  <c r="B60" i="4"/>
  <c r="K60" i="4" s="1"/>
  <c r="U60" i="4" s="1"/>
  <c r="AE60" i="4" s="1"/>
  <c r="B39" i="4"/>
  <c r="K39" i="4" s="1"/>
  <c r="U39" i="4" s="1"/>
  <c r="AE39" i="4" s="1"/>
  <c r="B44" i="4"/>
  <c r="K44" i="4" s="1"/>
  <c r="U44" i="4" s="1"/>
  <c r="AE44" i="4" s="1"/>
  <c r="B52" i="4"/>
  <c r="K52" i="4" s="1"/>
  <c r="U52" i="4" s="1"/>
  <c r="AE52" i="4" s="1"/>
  <c r="B53" i="4"/>
  <c r="K53" i="4" s="1"/>
  <c r="U53" i="4" s="1"/>
  <c r="AE53" i="4" s="1"/>
  <c r="B36" i="4"/>
  <c r="K36" i="4" s="1"/>
  <c r="U36" i="4" s="1"/>
  <c r="AE36" i="4" s="1"/>
  <c r="B38" i="4"/>
  <c r="K38" i="4" s="1"/>
  <c r="U38" i="4" s="1"/>
  <c r="AE38" i="4" s="1"/>
  <c r="B28" i="4"/>
  <c r="K28" i="4" s="1"/>
  <c r="U28" i="4" s="1"/>
  <c r="AE28" i="4" s="1"/>
  <c r="B27" i="4"/>
  <c r="K27" i="4" s="1"/>
  <c r="U27" i="4" s="1"/>
  <c r="AE27" i="4" s="1"/>
  <c r="O17" i="4"/>
  <c r="Q17" i="4"/>
  <c r="B16" i="4"/>
  <c r="K16" i="4" s="1"/>
  <c r="U16" i="4" s="1"/>
  <c r="AE16" i="4" s="1"/>
  <c r="AE20" i="4"/>
  <c r="AE21" i="4"/>
  <c r="AE22" i="4"/>
  <c r="B24" i="4"/>
  <c r="K24" i="4" s="1"/>
  <c r="U24" i="4" s="1"/>
  <c r="AE24" i="4" s="1"/>
  <c r="B8" i="4"/>
  <c r="K8" i="4" s="1"/>
  <c r="U8" i="4" s="1"/>
  <c r="AE8" i="4" s="1"/>
  <c r="B7" i="4"/>
  <c r="K7" i="4" s="1"/>
  <c r="U7" i="4" s="1"/>
  <c r="AE7" i="4" s="1"/>
  <c r="E51" i="3"/>
  <c r="F51" i="3"/>
  <c r="D51" i="3"/>
  <c r="E33" i="3"/>
  <c r="F33" i="3"/>
  <c r="D33" i="3"/>
  <c r="E11" i="3"/>
  <c r="E15" i="3" s="1"/>
  <c r="F11" i="3"/>
  <c r="F15" i="3" s="1"/>
  <c r="D11" i="3"/>
  <c r="D15" i="3" s="1"/>
  <c r="E20" i="2"/>
  <c r="F20" i="2"/>
  <c r="F23" i="2" s="1"/>
  <c r="D20" i="2"/>
  <c r="D49" i="1"/>
  <c r="D41" i="1"/>
  <c r="D34" i="1"/>
  <c r="D23" i="1"/>
  <c r="AK62" i="4" l="1"/>
  <c r="M81" i="4"/>
  <c r="G81" i="4"/>
  <c r="AK81" i="4"/>
  <c r="AJ66" i="4"/>
  <c r="D23" i="2"/>
  <c r="H69" i="4"/>
  <c r="D53" i="3"/>
  <c r="D56" i="3" s="1"/>
  <c r="Z77" i="4"/>
  <c r="AI77" i="4"/>
  <c r="U65" i="4"/>
  <c r="AE65" i="4" s="1"/>
  <c r="AB64" i="4"/>
  <c r="AK64" i="4"/>
  <c r="AL64" i="4" s="1"/>
  <c r="AG65" i="4"/>
  <c r="AH65" i="4" s="1"/>
  <c r="X65" i="4"/>
  <c r="X77" i="4"/>
  <c r="AG77" i="4"/>
  <c r="AH77" i="4" s="1"/>
  <c r="E23" i="2"/>
  <c r="Q69" i="4"/>
  <c r="AA69" i="4" s="1"/>
  <c r="F27" i="2"/>
  <c r="X67" i="4"/>
  <c r="X66" i="4"/>
  <c r="Z66" i="4"/>
  <c r="AE18" i="4"/>
  <c r="N69" i="4"/>
  <c r="W69" i="4"/>
  <c r="R60" i="4"/>
  <c r="R65" i="4"/>
  <c r="AA60" i="4"/>
  <c r="R64" i="4"/>
  <c r="R63" i="4"/>
  <c r="R74" i="4"/>
  <c r="R66" i="4"/>
  <c r="R67" i="4"/>
  <c r="P63" i="4"/>
  <c r="O73" i="4"/>
  <c r="P60" i="4"/>
  <c r="Y60" i="4"/>
  <c r="P69" i="4"/>
  <c r="P70" i="4"/>
  <c r="P71" i="4"/>
  <c r="P64" i="4"/>
  <c r="R75" i="4"/>
  <c r="AA75" i="4"/>
  <c r="AA72" i="4"/>
  <c r="R72" i="4"/>
  <c r="AI72" i="4"/>
  <c r="Z72" i="4"/>
  <c r="W74" i="4"/>
  <c r="AB74" i="4" s="1"/>
  <c r="N74" i="4"/>
  <c r="W60" i="4"/>
  <c r="N60" i="4"/>
  <c r="M73" i="4"/>
  <c r="N63" i="4"/>
  <c r="N72" i="4"/>
  <c r="N64" i="4"/>
  <c r="N77" i="4"/>
  <c r="N65" i="4"/>
  <c r="N66" i="4"/>
  <c r="N67" i="4"/>
  <c r="AG72" i="4"/>
  <c r="AH72" i="4" s="1"/>
  <c r="X72" i="4"/>
  <c r="N75" i="4"/>
  <c r="W75" i="4"/>
  <c r="AA78" i="4"/>
  <c r="R78" i="4"/>
  <c r="AK67" i="4"/>
  <c r="AK77" i="4"/>
  <c r="AB77" i="4"/>
  <c r="R62" i="4"/>
  <c r="U72" i="4"/>
  <c r="AE72" i="4" s="1"/>
  <c r="G72" i="4"/>
  <c r="W82" i="4"/>
  <c r="N82" i="4"/>
  <c r="AG64" i="4"/>
  <c r="AH64" i="4" s="1"/>
  <c r="X64" i="4"/>
  <c r="Z64" i="4"/>
  <c r="AA79" i="4"/>
  <c r="R79" i="4"/>
  <c r="R68" i="4"/>
  <c r="AA68" i="4"/>
  <c r="AI68" i="4"/>
  <c r="X41" i="4"/>
  <c r="N68" i="4"/>
  <c r="W68" i="4"/>
  <c r="Z68" i="4" s="1"/>
  <c r="AA82" i="4"/>
  <c r="R82" i="4"/>
  <c r="W81" i="4"/>
  <c r="AB81" i="4" s="1"/>
  <c r="N81" i="4"/>
  <c r="Y75" i="4"/>
  <c r="P75" i="4"/>
  <c r="N71" i="4"/>
  <c r="W79" i="4"/>
  <c r="N79" i="4"/>
  <c r="Y61" i="4"/>
  <c r="P61" i="4"/>
  <c r="R71" i="4"/>
  <c r="Z65" i="4"/>
  <c r="AI65" i="4"/>
  <c r="W62" i="4"/>
  <c r="AB62" i="4" s="1"/>
  <c r="N62" i="4"/>
  <c r="AA61" i="4"/>
  <c r="R61" i="4"/>
  <c r="R81" i="4"/>
  <c r="AB45" i="4"/>
  <c r="P72" i="4"/>
  <c r="Q15" i="4"/>
  <c r="W70" i="4"/>
  <c r="N70" i="4"/>
  <c r="AK74" i="4"/>
  <c r="AB65" i="4"/>
  <c r="P79" i="4"/>
  <c r="Y79" i="4"/>
  <c r="Y78" i="4"/>
  <c r="P78" i="4"/>
  <c r="P77" i="4"/>
  <c r="W61" i="4"/>
  <c r="N61" i="4"/>
  <c r="E53" i="3"/>
  <c r="P81" i="4"/>
  <c r="Y81" i="4"/>
  <c r="Y74" i="4"/>
  <c r="P74" i="4"/>
  <c r="R77" i="4"/>
  <c r="P67" i="4"/>
  <c r="Y67" i="4"/>
  <c r="AI67" i="4" s="1"/>
  <c r="F53" i="3"/>
  <c r="P65" i="4"/>
  <c r="P68" i="4"/>
  <c r="AA71" i="4"/>
  <c r="P62" i="4"/>
  <c r="AE19" i="4"/>
  <c r="U74" i="4"/>
  <c r="AE74" i="4" s="1"/>
  <c r="Y82" i="4"/>
  <c r="P82" i="4"/>
  <c r="Z9" i="4"/>
  <c r="AK66" i="4"/>
  <c r="AL66" i="4" s="1"/>
  <c r="AB66" i="4"/>
  <c r="P66" i="4"/>
  <c r="W71" i="4"/>
  <c r="D50" i="1"/>
  <c r="D51" i="1" s="1"/>
  <c r="U68" i="4"/>
  <c r="AE68" i="4" s="1"/>
  <c r="AG78" i="4"/>
  <c r="F53" i="1"/>
  <c r="AA70" i="4"/>
  <c r="R70" i="4"/>
  <c r="M51" i="4"/>
  <c r="U66" i="4"/>
  <c r="AE66" i="4" s="1"/>
  <c r="N78" i="4"/>
  <c r="E56" i="7"/>
  <c r="F56" i="7"/>
  <c r="G56" i="7"/>
  <c r="F44" i="7"/>
  <c r="F25" i="10" s="1"/>
  <c r="E44" i="7"/>
  <c r="E25" i="10" s="1"/>
  <c r="G44" i="7"/>
  <c r="G25" i="10" s="1"/>
  <c r="E38" i="7"/>
  <c r="E45" i="7" s="1"/>
  <c r="G27" i="7"/>
  <c r="G71" i="7" s="1"/>
  <c r="E27" i="7"/>
  <c r="E71" i="7" s="1"/>
  <c r="F27" i="7"/>
  <c r="F71" i="7" s="1"/>
  <c r="G22" i="7"/>
  <c r="E22" i="7"/>
  <c r="F22" i="7"/>
  <c r="G29" i="4"/>
  <c r="Q23" i="4"/>
  <c r="H45" i="4"/>
  <c r="H68" i="4"/>
  <c r="G74" i="4"/>
  <c r="O36" i="4"/>
  <c r="G68" i="4"/>
  <c r="H74" i="4"/>
  <c r="G78" i="4"/>
  <c r="H79" i="4"/>
  <c r="H67" i="4"/>
  <c r="H62" i="4"/>
  <c r="G79" i="4"/>
  <c r="H72" i="4"/>
  <c r="H78" i="4"/>
  <c r="G45" i="4"/>
  <c r="H60" i="4"/>
  <c r="H70" i="4"/>
  <c r="G69" i="4"/>
  <c r="G65" i="4"/>
  <c r="H77" i="4"/>
  <c r="Q36" i="4"/>
  <c r="O43" i="4"/>
  <c r="O51" i="4"/>
  <c r="G40" i="4"/>
  <c r="G60" i="4"/>
  <c r="G77" i="4"/>
  <c r="Q43" i="4"/>
  <c r="Q51" i="4"/>
  <c r="E43" i="4"/>
  <c r="G71" i="4"/>
  <c r="G67" i="4"/>
  <c r="H64" i="4"/>
  <c r="G62" i="4"/>
  <c r="O15" i="4"/>
  <c r="O23" i="4"/>
  <c r="M36" i="4"/>
  <c r="M15" i="4"/>
  <c r="M43" i="4"/>
  <c r="D36" i="4"/>
  <c r="D43" i="4"/>
  <c r="H71" i="4"/>
  <c r="G70" i="4"/>
  <c r="G66" i="4"/>
  <c r="H61" i="4"/>
  <c r="F43" i="4"/>
  <c r="H75" i="4"/>
  <c r="F36" i="4"/>
  <c r="D51" i="4"/>
  <c r="H29" i="4"/>
  <c r="D73" i="4"/>
  <c r="D76" i="4" s="1"/>
  <c r="D80" i="4" s="1"/>
  <c r="D83" i="4" s="1"/>
  <c r="D85" i="4" s="1"/>
  <c r="H65" i="4"/>
  <c r="G64" i="4"/>
  <c r="H66" i="4"/>
  <c r="E51" i="4"/>
  <c r="G75" i="4"/>
  <c r="G61" i="4"/>
  <c r="F51" i="4"/>
  <c r="H40" i="4"/>
  <c r="E73" i="4"/>
  <c r="E36" i="4"/>
  <c r="F73" i="4"/>
  <c r="D15" i="4"/>
  <c r="D23" i="4"/>
  <c r="G9" i="4"/>
  <c r="F15" i="4"/>
  <c r="E23" i="4"/>
  <c r="E15" i="4"/>
  <c r="F23" i="4"/>
  <c r="D24" i="1"/>
  <c r="E53" i="1"/>
  <c r="F129" i="10" l="1"/>
  <c r="G129" i="10"/>
  <c r="F72" i="7"/>
  <c r="F73" i="7" s="1"/>
  <c r="F30" i="10"/>
  <c r="F133" i="10" s="1"/>
  <c r="E72" i="7"/>
  <c r="E73" i="7" s="1"/>
  <c r="E30" i="10"/>
  <c r="G16" i="10"/>
  <c r="G68" i="7"/>
  <c r="G70" i="7" s="1"/>
  <c r="E21" i="10"/>
  <c r="E129" i="10" s="1"/>
  <c r="E23" i="10"/>
  <c r="G72" i="7"/>
  <c r="G73" i="7" s="1"/>
  <c r="G30" i="10"/>
  <c r="G132" i="10" s="1"/>
  <c r="F16" i="10"/>
  <c r="F68" i="7"/>
  <c r="F70" i="7" s="1"/>
  <c r="E68" i="7"/>
  <c r="E70" i="7" s="1"/>
  <c r="E16" i="10"/>
  <c r="AK69" i="4"/>
  <c r="AB69" i="4"/>
  <c r="D53" i="1"/>
  <c r="D27" i="2"/>
  <c r="AJ65" i="4"/>
  <c r="AL65" i="4"/>
  <c r="R69" i="4"/>
  <c r="AJ77" i="4"/>
  <c r="AL77" i="4"/>
  <c r="E56" i="3"/>
  <c r="F56" i="3" s="1"/>
  <c r="F58" i="3" s="1"/>
  <c r="D58" i="3"/>
  <c r="F30" i="2"/>
  <c r="Q73" i="4"/>
  <c r="Q76" i="4" s="1"/>
  <c r="E27" i="2"/>
  <c r="D30" i="2"/>
  <c r="G15" i="4"/>
  <c r="Y15" i="4"/>
  <c r="AA15" i="4"/>
  <c r="AL9" i="4"/>
  <c r="H51" i="4"/>
  <c r="W51" i="4"/>
  <c r="AA36" i="4"/>
  <c r="AJ64" i="4"/>
  <c r="X69" i="4"/>
  <c r="AG69" i="4"/>
  <c r="W43" i="4"/>
  <c r="AK70" i="4"/>
  <c r="X74" i="4"/>
  <c r="AG74" i="4"/>
  <c r="AH74" i="4" s="1"/>
  <c r="AB72" i="4"/>
  <c r="AK72" i="4"/>
  <c r="AL72" i="4" s="1"/>
  <c r="Z74" i="4"/>
  <c r="AI74" i="4"/>
  <c r="AL74" i="4" s="1"/>
  <c r="X17" i="4"/>
  <c r="AH17" i="4"/>
  <c r="Q24" i="4"/>
  <c r="AI82" i="4"/>
  <c r="N73" i="4"/>
  <c r="W73" i="4"/>
  <c r="M76" i="4"/>
  <c r="AA51" i="4"/>
  <c r="X62" i="4"/>
  <c r="AG62" i="4"/>
  <c r="AH62" i="4" s="1"/>
  <c r="E58" i="7"/>
  <c r="AI78" i="4"/>
  <c r="Z41" i="4"/>
  <c r="Z17" i="4"/>
  <c r="Y23" i="4"/>
  <c r="AG75" i="4"/>
  <c r="X71" i="4"/>
  <c r="AG71" i="4"/>
  <c r="Z71" i="4"/>
  <c r="Y36" i="4"/>
  <c r="O76" i="4"/>
  <c r="Y73" i="4"/>
  <c r="P73" i="4"/>
  <c r="AG79" i="4"/>
  <c r="AH79" i="4" s="1"/>
  <c r="X79" i="4"/>
  <c r="AG82" i="4"/>
  <c r="AA43" i="4"/>
  <c r="AK82" i="4"/>
  <c r="AK75" i="4"/>
  <c r="AI60" i="4"/>
  <c r="Z60" i="4"/>
  <c r="AK71" i="4"/>
  <c r="AL71" i="4" s="1"/>
  <c r="AB71" i="4"/>
  <c r="AA23" i="4"/>
  <c r="AB17" i="4"/>
  <c r="Z61" i="4"/>
  <c r="AI61" i="4"/>
  <c r="AK61" i="4"/>
  <c r="AB61" i="4"/>
  <c r="Q55" i="4"/>
  <c r="W36" i="4"/>
  <c r="G36" i="4"/>
  <c r="X61" i="4"/>
  <c r="AG61" i="4"/>
  <c r="AH61" i="4" s="1"/>
  <c r="X29" i="4"/>
  <c r="Z29" i="4"/>
  <c r="AK78" i="4"/>
  <c r="Z45" i="4"/>
  <c r="Y43" i="4"/>
  <c r="AB41" i="4"/>
  <c r="AG60" i="4"/>
  <c r="AH60" i="4" s="1"/>
  <c r="X60" i="4"/>
  <c r="X81" i="4"/>
  <c r="AG81" i="4"/>
  <c r="AH81" i="4" s="1"/>
  <c r="AJ72" i="4"/>
  <c r="AB68" i="4"/>
  <c r="AK68" i="4"/>
  <c r="AL68" i="4" s="1"/>
  <c r="M23" i="4"/>
  <c r="O55" i="4"/>
  <c r="AG70" i="4"/>
  <c r="AG68" i="4"/>
  <c r="AH68" i="4" s="1"/>
  <c r="X68" i="4"/>
  <c r="AI81" i="4"/>
  <c r="AB29" i="4"/>
  <c r="AL29" i="4"/>
  <c r="O24" i="4"/>
  <c r="Y51" i="4"/>
  <c r="X9" i="4"/>
  <c r="AH9" i="4"/>
  <c r="W15" i="4"/>
  <c r="AB9" i="4"/>
  <c r="Z79" i="4"/>
  <c r="AI79" i="4"/>
  <c r="AH45" i="4"/>
  <c r="X45" i="4"/>
  <c r="AI75" i="4"/>
  <c r="AK79" i="4"/>
  <c r="AB79" i="4"/>
  <c r="AB60" i="4"/>
  <c r="AK60" i="4"/>
  <c r="F45" i="7"/>
  <c r="F57" i="7"/>
  <c r="F58" i="7" s="1"/>
  <c r="G57" i="7"/>
  <c r="G58" i="7" s="1"/>
  <c r="G28" i="7"/>
  <c r="G45" i="7"/>
  <c r="F28" i="7"/>
  <c r="O52" i="4"/>
  <c r="O53" i="4" s="1"/>
  <c r="H23" i="4"/>
  <c r="H43" i="4"/>
  <c r="Q52" i="4"/>
  <c r="M52" i="4"/>
  <c r="F52" i="4"/>
  <c r="F53" i="4" s="1"/>
  <c r="D52" i="4"/>
  <c r="D53" i="4" s="1"/>
  <c r="G51" i="4"/>
  <c r="G43" i="4"/>
  <c r="E76" i="4"/>
  <c r="G73" i="4"/>
  <c r="H36" i="4"/>
  <c r="F76" i="4"/>
  <c r="H73" i="4"/>
  <c r="D24" i="4"/>
  <c r="E52" i="4"/>
  <c r="F24" i="4"/>
  <c r="E24" i="4"/>
  <c r="G23" i="4"/>
  <c r="H15" i="4"/>
  <c r="G133" i="10" l="1"/>
  <c r="E24" i="10"/>
  <c r="E109" i="10" s="1"/>
  <c r="F24" i="10"/>
  <c r="F109" i="10" s="1"/>
  <c r="E126" i="10"/>
  <c r="E127" i="10"/>
  <c r="E114" i="10"/>
  <c r="E113" i="10"/>
  <c r="E112" i="10"/>
  <c r="E17" i="10"/>
  <c r="E107" i="10" s="1"/>
  <c r="F17" i="10"/>
  <c r="E131" i="10"/>
  <c r="F22" i="10"/>
  <c r="F108" i="10" s="1"/>
  <c r="E22" i="10"/>
  <c r="E108" i="10" s="1"/>
  <c r="E132" i="10"/>
  <c r="G17" i="10"/>
  <c r="G127" i="10"/>
  <c r="G126" i="10"/>
  <c r="G125" i="10"/>
  <c r="F126" i="10"/>
  <c r="F125" i="10"/>
  <c r="F127" i="10"/>
  <c r="F132" i="10"/>
  <c r="G65" i="7"/>
  <c r="G67" i="7" s="1"/>
  <c r="G74" i="7" s="1"/>
  <c r="G26" i="10"/>
  <c r="E26" i="10"/>
  <c r="E65" i="7"/>
  <c r="E67" i="7" s="1"/>
  <c r="E74" i="7" s="1"/>
  <c r="K58" i="7"/>
  <c r="G31" i="10"/>
  <c r="F65" i="7"/>
  <c r="F67" i="7" s="1"/>
  <c r="F74" i="7" s="1"/>
  <c r="F26" i="10"/>
  <c r="J58" i="7"/>
  <c r="F31" i="10"/>
  <c r="G32" i="10" s="1"/>
  <c r="I58" i="7"/>
  <c r="E31" i="10"/>
  <c r="E125" i="10" s="1"/>
  <c r="AL79" i="4"/>
  <c r="AJ79" i="4"/>
  <c r="AA73" i="4"/>
  <c r="AK73" i="4" s="1"/>
  <c r="R73" i="4"/>
  <c r="P49" i="4"/>
  <c r="P47" i="4"/>
  <c r="P50" i="4"/>
  <c r="P48" i="4"/>
  <c r="P46" i="4"/>
  <c r="R12" i="4"/>
  <c r="R16" i="4"/>
  <c r="R20" i="4"/>
  <c r="R19" i="4"/>
  <c r="R13" i="4"/>
  <c r="R17" i="4"/>
  <c r="R24" i="4"/>
  <c r="R11" i="4"/>
  <c r="R10" i="4"/>
  <c r="R14" i="4"/>
  <c r="R18" i="4"/>
  <c r="R15" i="4"/>
  <c r="R22" i="4"/>
  <c r="R21" i="4"/>
  <c r="R23" i="4"/>
  <c r="P10" i="4"/>
  <c r="P14" i="4"/>
  <c r="P18" i="4"/>
  <c r="P17" i="4"/>
  <c r="P11" i="4"/>
  <c r="P15" i="4"/>
  <c r="P19" i="4"/>
  <c r="P22" i="4"/>
  <c r="P13" i="4"/>
  <c r="P24" i="4"/>
  <c r="P12" i="4"/>
  <c r="P16" i="4"/>
  <c r="P20" i="4"/>
  <c r="P21" i="4"/>
  <c r="P23" i="4"/>
  <c r="P51" i="4"/>
  <c r="P33" i="4"/>
  <c r="P35" i="4"/>
  <c r="P30" i="4"/>
  <c r="P34" i="4"/>
  <c r="P31" i="4"/>
  <c r="P32" i="4"/>
  <c r="AL60" i="4"/>
  <c r="K28" i="7"/>
  <c r="J28" i="7"/>
  <c r="E58" i="3"/>
  <c r="D32" i="2"/>
  <c r="E30" i="2"/>
  <c r="AL61" i="4"/>
  <c r="AJ68" i="4"/>
  <c r="AJ61" i="4"/>
  <c r="AJ60" i="4"/>
  <c r="F32" i="2"/>
  <c r="AA55" i="4"/>
  <c r="AJ45" i="4"/>
  <c r="AJ17" i="4"/>
  <c r="Y24" i="4"/>
  <c r="Z15" i="4"/>
  <c r="AL17" i="4"/>
  <c r="P36" i="4"/>
  <c r="P43" i="4"/>
  <c r="AL45" i="4"/>
  <c r="AL15" i="4"/>
  <c r="AB15" i="4"/>
  <c r="Z51" i="4"/>
  <c r="Z43" i="4"/>
  <c r="P52" i="4"/>
  <c r="Y52" i="4"/>
  <c r="AA24" i="4"/>
  <c r="AB36" i="4"/>
  <c r="P39" i="4"/>
  <c r="P53" i="4"/>
  <c r="Y53" i="4"/>
  <c r="P37" i="4"/>
  <c r="P38" i="4"/>
  <c r="P29" i="4"/>
  <c r="P45" i="4"/>
  <c r="P41" i="4"/>
  <c r="P42" i="4"/>
  <c r="P40" i="4"/>
  <c r="M80" i="4"/>
  <c r="W76" i="4"/>
  <c r="N76" i="4"/>
  <c r="X43" i="4"/>
  <c r="AH43" i="4"/>
  <c r="M53" i="4"/>
  <c r="W52" i="4"/>
  <c r="Z36" i="4"/>
  <c r="Q53" i="4"/>
  <c r="AA52" i="4"/>
  <c r="P9" i="4"/>
  <c r="W23" i="4"/>
  <c r="Z23" i="4" s="1"/>
  <c r="X36" i="4"/>
  <c r="AH36" i="4"/>
  <c r="X73" i="4"/>
  <c r="AG73" i="4"/>
  <c r="AH73" i="4" s="1"/>
  <c r="AJ74" i="4"/>
  <c r="AH69" i="4"/>
  <c r="AB51" i="4"/>
  <c r="Y55" i="4"/>
  <c r="AB43" i="4"/>
  <c r="AH29" i="4"/>
  <c r="AJ29" i="4"/>
  <c r="AB73" i="4"/>
  <c r="O80" i="4"/>
  <c r="P76" i="4"/>
  <c r="Y76" i="4"/>
  <c r="M55" i="4"/>
  <c r="G60" i="7"/>
  <c r="AJ9" i="4"/>
  <c r="M24" i="4"/>
  <c r="AH71" i="4"/>
  <c r="AJ71" i="4"/>
  <c r="R9" i="4"/>
  <c r="X15" i="4"/>
  <c r="AJ15" i="4"/>
  <c r="Q80" i="4"/>
  <c r="R76" i="4"/>
  <c r="AA76" i="4"/>
  <c r="AI73" i="4"/>
  <c r="Z73" i="4"/>
  <c r="AH51" i="4"/>
  <c r="X51" i="4"/>
  <c r="F60" i="7"/>
  <c r="F55" i="4"/>
  <c r="H52" i="4"/>
  <c r="D55" i="4"/>
  <c r="E53" i="4"/>
  <c r="G52" i="4"/>
  <c r="F80" i="4"/>
  <c r="H76" i="4"/>
  <c r="E80" i="4"/>
  <c r="G76" i="4"/>
  <c r="G24" i="4"/>
  <c r="H24" i="4"/>
  <c r="G128" i="10" l="1"/>
  <c r="G130" i="10"/>
  <c r="F32" i="10"/>
  <c r="E32" i="10"/>
  <c r="F130" i="10"/>
  <c r="F128" i="10"/>
  <c r="E128" i="10"/>
  <c r="E130" i="10"/>
  <c r="R46" i="4"/>
  <c r="R49" i="4"/>
  <c r="R50" i="4"/>
  <c r="R48" i="4"/>
  <c r="R47" i="4"/>
  <c r="N47" i="4"/>
  <c r="N50" i="4"/>
  <c r="N48" i="4"/>
  <c r="N46" i="4"/>
  <c r="N49" i="4"/>
  <c r="N12" i="4"/>
  <c r="N16" i="4"/>
  <c r="N14" i="4"/>
  <c r="N11" i="4"/>
  <c r="N19" i="4"/>
  <c r="N13" i="4"/>
  <c r="N17" i="4"/>
  <c r="N24" i="4"/>
  <c r="N10" i="4"/>
  <c r="N18" i="4"/>
  <c r="N15" i="4"/>
  <c r="N22" i="4"/>
  <c r="N21" i="4"/>
  <c r="N20" i="4"/>
  <c r="N23" i="4"/>
  <c r="R52" i="4"/>
  <c r="R31" i="4"/>
  <c r="R35" i="4"/>
  <c r="R32" i="4"/>
  <c r="R33" i="4"/>
  <c r="R30" i="4"/>
  <c r="R34" i="4"/>
  <c r="N52" i="4"/>
  <c r="N32" i="4"/>
  <c r="N30" i="4"/>
  <c r="N35" i="4"/>
  <c r="N33" i="4"/>
  <c r="N34" i="4"/>
  <c r="N31" i="4"/>
  <c r="E32" i="2"/>
  <c r="AJ73" i="4"/>
  <c r="AB23" i="4"/>
  <c r="W24" i="4"/>
  <c r="Z24" i="4" s="1"/>
  <c r="P55" i="4"/>
  <c r="AJ51" i="4"/>
  <c r="AL51" i="4"/>
  <c r="AJ43" i="4"/>
  <c r="AJ36" i="4"/>
  <c r="AK55" i="4"/>
  <c r="O83" i="4"/>
  <c r="P80" i="4"/>
  <c r="Y80" i="4"/>
  <c r="AL24" i="4"/>
  <c r="M83" i="4"/>
  <c r="W80" i="4"/>
  <c r="N80" i="4"/>
  <c r="N9" i="4"/>
  <c r="X52" i="4"/>
  <c r="AH52" i="4"/>
  <c r="AI55" i="4"/>
  <c r="AB52" i="4"/>
  <c r="R53" i="4"/>
  <c r="R38" i="4"/>
  <c r="R39" i="4"/>
  <c r="AA53" i="4"/>
  <c r="R37" i="4"/>
  <c r="R45" i="4"/>
  <c r="R42" i="4"/>
  <c r="R29" i="4"/>
  <c r="R40" i="4"/>
  <c r="R41" i="4"/>
  <c r="R36" i="4"/>
  <c r="R51" i="4"/>
  <c r="R43" i="4"/>
  <c r="Q83" i="4"/>
  <c r="AA80" i="4"/>
  <c r="R80" i="4"/>
  <c r="AH23" i="4"/>
  <c r="X23" i="4"/>
  <c r="W55" i="4"/>
  <c r="AH15" i="4"/>
  <c r="N53" i="4"/>
  <c r="W53" i="4"/>
  <c r="N37" i="4"/>
  <c r="N38" i="4"/>
  <c r="N39" i="4"/>
  <c r="N42" i="4"/>
  <c r="N40" i="4"/>
  <c r="N29" i="4"/>
  <c r="N41" i="4"/>
  <c r="N45" i="4"/>
  <c r="N51" i="4"/>
  <c r="N43" i="4"/>
  <c r="N36" i="4"/>
  <c r="AL43" i="4"/>
  <c r="AL23" i="4"/>
  <c r="AI76" i="4"/>
  <c r="Z76" i="4"/>
  <c r="AG76" i="4"/>
  <c r="AH76" i="4" s="1"/>
  <c r="X76" i="4"/>
  <c r="AB76" i="4"/>
  <c r="AK76" i="4"/>
  <c r="Z52" i="4"/>
  <c r="AL73" i="4"/>
  <c r="AL36" i="4"/>
  <c r="F83" i="4"/>
  <c r="H80" i="4"/>
  <c r="E83" i="4"/>
  <c r="G80" i="4"/>
  <c r="G53" i="4"/>
  <c r="G55" i="4" s="1"/>
  <c r="H53" i="4"/>
  <c r="H55" i="4" s="1"/>
  <c r="E55" i="4"/>
  <c r="AG55" i="4" l="1"/>
  <c r="AB24" i="4"/>
  <c r="X24" i="4"/>
  <c r="N55" i="4"/>
  <c r="AL53" i="4"/>
  <c r="AB53" i="4"/>
  <c r="AI80" i="4"/>
  <c r="Z80" i="4"/>
  <c r="Q85" i="4"/>
  <c r="R83" i="4"/>
  <c r="AA83" i="4"/>
  <c r="R55" i="4"/>
  <c r="AG80" i="4"/>
  <c r="AH80" i="4" s="1"/>
  <c r="X80" i="4"/>
  <c r="AK80" i="4"/>
  <c r="AB80" i="4"/>
  <c r="N83" i="4"/>
  <c r="W83" i="4"/>
  <c r="W85" i="4" s="1"/>
  <c r="M85" i="4"/>
  <c r="X53" i="4"/>
  <c r="AH53" i="4"/>
  <c r="Z53" i="4"/>
  <c r="AL52" i="4"/>
  <c r="AJ76" i="4"/>
  <c r="P83" i="4"/>
  <c r="O85" i="4"/>
  <c r="Y83" i="4"/>
  <c r="AJ52" i="4"/>
  <c r="AL76" i="4"/>
  <c r="AJ23" i="4"/>
  <c r="E85" i="4"/>
  <c r="G83" i="4"/>
  <c r="F85" i="4"/>
  <c r="H83" i="4"/>
  <c r="AH24" i="4" l="1"/>
  <c r="AJ24" i="4"/>
  <c r="AJ53" i="4"/>
  <c r="AG83" i="4"/>
  <c r="X83" i="4"/>
  <c r="Z83" i="4"/>
  <c r="AI83" i="4"/>
  <c r="AB83" i="4"/>
  <c r="AK83" i="4"/>
  <c r="AA85" i="4"/>
  <c r="AJ80" i="4"/>
  <c r="AL80" i="4"/>
  <c r="Y85" i="4"/>
  <c r="AL83" i="4" l="1"/>
  <c r="AK85" i="4"/>
  <c r="AI85" i="4"/>
  <c r="AJ83" i="4"/>
  <c r="AG85" i="4"/>
  <c r="AH83" i="4"/>
  <c r="E28" i="7" l="1"/>
  <c r="E18" i="10" s="1"/>
  <c r="F19" i="10" l="1"/>
  <c r="F105" i="10" s="1"/>
  <c r="E19" i="10"/>
  <c r="E105" i="10" s="1"/>
  <c r="E124" i="10"/>
  <c r="E133" i="10"/>
  <c r="I28" i="7"/>
  <c r="E60" i="7"/>
</calcChain>
</file>

<file path=xl/sharedStrings.xml><?xml version="1.0" encoding="utf-8"?>
<sst xmlns="http://schemas.openxmlformats.org/spreadsheetml/2006/main" count="658" uniqueCount="369">
  <si>
    <t xml:space="preserve">Entidade: </t>
  </si>
  <si>
    <t>JJ TEIXEIRA, SA</t>
  </si>
  <si>
    <t>Wood Engineeing Tailor</t>
  </si>
  <si>
    <t>Balanço individual a 31 de dezembro</t>
  </si>
  <si>
    <t>(em euros)</t>
  </si>
  <si>
    <t>Rubricas</t>
  </si>
  <si>
    <t>Notas</t>
  </si>
  <si>
    <t>Anos</t>
  </si>
  <si>
    <t>ATIVO</t>
  </si>
  <si>
    <t>Ativo não corrente</t>
  </si>
  <si>
    <t>Ativos fixos tangíveis</t>
  </si>
  <si>
    <t>Propriedades de investimento</t>
  </si>
  <si>
    <t>Ativos intangíveis</t>
  </si>
  <si>
    <r>
      <t xml:space="preserve">Participações financeiras - </t>
    </r>
    <r>
      <rPr>
        <sz val="9"/>
        <color theme="1"/>
        <rFont val="Calibri"/>
        <family val="2"/>
        <scheme val="minor"/>
      </rPr>
      <t>Outros métodos</t>
    </r>
  </si>
  <si>
    <t xml:space="preserve">Outros ativos financeiros </t>
  </si>
  <si>
    <t>Ativos por impostos diferidos</t>
  </si>
  <si>
    <t>Ativo corrente</t>
  </si>
  <si>
    <t>Inventários</t>
  </si>
  <si>
    <t>Clientes</t>
  </si>
  <si>
    <t>Estado e Outros Entes Públicos</t>
  </si>
  <si>
    <t>Outros créditos a receber</t>
  </si>
  <si>
    <t>Diferimentos</t>
  </si>
  <si>
    <t>Diferimentos: são Gastos a reconhecer (nota 14)</t>
  </si>
  <si>
    <t>Caixa e depósitos bancários</t>
  </si>
  <si>
    <t>Total do Ativo</t>
  </si>
  <si>
    <t>CAPITAL PRÓPRIO PASSIVO</t>
  </si>
  <si>
    <t>Capital Próprio</t>
  </si>
  <si>
    <t>Capital realizado</t>
  </si>
  <si>
    <t>Prémios de emissão</t>
  </si>
  <si>
    <t>Reservas Legais</t>
  </si>
  <si>
    <t>Outras reservas</t>
  </si>
  <si>
    <t>Resultados Transitados</t>
  </si>
  <si>
    <t>Outras variações no capital próprio</t>
  </si>
  <si>
    <t>Resultado liquido do período</t>
  </si>
  <si>
    <t>Total do Capital Próprio</t>
  </si>
  <si>
    <t>Passivo</t>
  </si>
  <si>
    <t>Passivo não  corrente</t>
  </si>
  <si>
    <t>Provisões</t>
  </si>
  <si>
    <t xml:space="preserve">Financiamentos obtidos </t>
  </si>
  <si>
    <t>Outras dívidas a pagar</t>
  </si>
  <si>
    <t>Passivo Corrente</t>
  </si>
  <si>
    <t>Fornecedores</t>
  </si>
  <si>
    <t>Adiantamentos de clientes</t>
  </si>
  <si>
    <t xml:space="preserve">Financiamentos Obtidos </t>
  </si>
  <si>
    <t>Diferimentos: são Rendimentos a reconhecer (nota 14)</t>
  </si>
  <si>
    <t>Total do Passivo</t>
  </si>
  <si>
    <t>Total do Capital Próprio e do Passivo</t>
  </si>
  <si>
    <t>NOTAS DO ANEXO AO BALANÇO</t>
  </si>
  <si>
    <t>12 - ESTADO E OUTROS ENTES PUBLICOS CORRENTES ATIVOS</t>
  </si>
  <si>
    <t>12 - ESTADO E OUTROS ENTES PUBLICOS CORRENTES PASSIVOS</t>
  </si>
  <si>
    <t>No final do exercício, a rúbrica de "Estado e Outros Entes Públicos Ativo" apresentava a seguinte composição:</t>
  </si>
  <si>
    <t>No final do exercício, a rúbrica de "Estado e Outros Entes Públicos Passivo" apresentava a seguinte composição:</t>
  </si>
  <si>
    <t>IRC</t>
  </si>
  <si>
    <t>TP</t>
  </si>
  <si>
    <t>IRS</t>
  </si>
  <si>
    <t>RC</t>
  </si>
  <si>
    <t>IVA (reembolsos)</t>
  </si>
  <si>
    <t>IVA</t>
  </si>
  <si>
    <t>Segurança Social</t>
  </si>
  <si>
    <t xml:space="preserve">Outros </t>
  </si>
  <si>
    <t>Pressuposto de que estes saldos derivam de operações do ãmbito da atividade de exploração da empresa</t>
  </si>
  <si>
    <t>(saldo da conta EOEP inclui IRC (TA) e IVA (NC), pressuposto de que este saldo resultou de operações do àmbito da atividade de exploração)</t>
  </si>
  <si>
    <t>13 - OUTROS CRÉDITOS A RECEBER</t>
  </si>
  <si>
    <t>No final do exercício, a rúbrica de "Outros créditos a receber" apresentava a seguinte composição:</t>
  </si>
  <si>
    <t>Adiantamentos a fornecedores</t>
  </si>
  <si>
    <t>Adiantamentos ao pessoal</t>
  </si>
  <si>
    <t>NC</t>
  </si>
  <si>
    <t>Obras plurianuais</t>
  </si>
  <si>
    <t>Subsídios</t>
  </si>
  <si>
    <t xml:space="preserve">Cauções </t>
  </si>
  <si>
    <t>TA</t>
  </si>
  <si>
    <t>(relacionados com processos judiciais)</t>
  </si>
  <si>
    <t>Outros devedores</t>
  </si>
  <si>
    <t>(pressuposto de que este saldo resultou de operações do âmbito da atividade de ecploração</t>
  </si>
  <si>
    <t>14 - DIFERIMENTOS</t>
  </si>
  <si>
    <t>No final do exercício, a rúbrica  "Diferimentos - Ativos" apresentava a seguinte composição:</t>
  </si>
  <si>
    <t>No final do exercício, a rúbrica  "Diferimentos - Passivos" apresentava a seguinte composição:</t>
  </si>
  <si>
    <t>Seguros</t>
  </si>
  <si>
    <t>Rendimentos a reconhecer</t>
  </si>
  <si>
    <t>Outros</t>
  </si>
  <si>
    <t>24 - OUTRAS DÍVIDAS A PAGAR</t>
  </si>
  <si>
    <r>
      <t xml:space="preserve">No final do exercício, a rúbrica de "Outras dívidas a pagar </t>
    </r>
    <r>
      <rPr>
        <b/>
        <sz val="10"/>
        <color theme="1"/>
        <rFont val="Calibri"/>
        <family val="2"/>
        <scheme val="minor"/>
      </rPr>
      <t>não correntes</t>
    </r>
    <r>
      <rPr>
        <sz val="10"/>
        <color theme="1"/>
        <rFont val="Calibri"/>
        <family val="2"/>
        <scheme val="minor"/>
      </rPr>
      <t>" apresentava a seguinte composição:</t>
    </r>
  </si>
  <si>
    <t>Cred. acréscimos de gastos subs. pessoal</t>
  </si>
  <si>
    <t>Cred. acréscimos de gastos - diversos</t>
  </si>
  <si>
    <t>Outros credores diversos</t>
  </si>
  <si>
    <t>Total (1)</t>
  </si>
  <si>
    <r>
      <t xml:space="preserve">No final do exercício, a rúbrica de "Outras dívidas a pagar </t>
    </r>
    <r>
      <rPr>
        <b/>
        <sz val="10"/>
        <color theme="1"/>
        <rFont val="Calibri"/>
        <family val="2"/>
        <scheme val="minor"/>
      </rPr>
      <t>não correntes - Acionistas/Sócios</t>
    </r>
    <r>
      <rPr>
        <sz val="10"/>
        <color theme="1"/>
        <rFont val="Calibri"/>
        <family val="2"/>
        <scheme val="minor"/>
      </rPr>
      <t>" apresentava a seguinte composição:</t>
    </r>
  </si>
  <si>
    <t>Maria Jacinta Rocha Sousa</t>
  </si>
  <si>
    <t>João Evangelista Nunes</t>
  </si>
  <si>
    <t>Fundo Revitalizar Norte</t>
  </si>
  <si>
    <t>Juros</t>
  </si>
  <si>
    <t>Total (2)</t>
  </si>
  <si>
    <t>Total (1) + Total (2)</t>
  </si>
  <si>
    <r>
      <t xml:space="preserve">É o valor das Outras dívidas a pagar do </t>
    </r>
    <r>
      <rPr>
        <b/>
        <sz val="10"/>
        <rFont val="Calibri"/>
        <family val="2"/>
        <scheme val="minor"/>
      </rPr>
      <t>Passivo não corrente do Balanço</t>
    </r>
  </si>
  <si>
    <r>
      <t xml:space="preserve">A nota 24 apenas apresenta o detalhe das dívidas do </t>
    </r>
    <r>
      <rPr>
        <b/>
        <sz val="10"/>
        <rFont val="Calibri"/>
        <family val="2"/>
        <scheme val="minor"/>
      </rPr>
      <t>Passivo não corrente.</t>
    </r>
  </si>
  <si>
    <t>Logo, quanto às dívidas do Passivo corrente, não há informação detalhada. Pelo que se pressupõe tratar-se de dívidas decorrentes da atividade de exploração da empresa.</t>
  </si>
  <si>
    <t>JJ Teixeira, S.A.</t>
  </si>
  <si>
    <t>Balanço Funcional</t>
  </si>
  <si>
    <t>Aplicações Fixas Líquidas</t>
  </si>
  <si>
    <t xml:space="preserve"> Cauções (extra exploração; valor constante no triénio)</t>
  </si>
  <si>
    <t>Necessidades Cíclicas</t>
  </si>
  <si>
    <t>Ver se a Ativos não correntes detidos para venda entram</t>
  </si>
  <si>
    <t xml:space="preserve"> IVA</t>
  </si>
  <si>
    <t xml:space="preserve"> Adiant. fornec.; Adiant. pessoal; Obras plurianuais; Outros</t>
  </si>
  <si>
    <t xml:space="preserve"> Seguros; Outros</t>
  </si>
  <si>
    <t>Tesouraria Ativa</t>
  </si>
  <si>
    <t>Estado e Outros Entes Públicos (IRC)</t>
  </si>
  <si>
    <t xml:space="preserve"> Subsídios</t>
  </si>
  <si>
    <t>Recursos Estáveis</t>
  </si>
  <si>
    <t>Recursos Cíclicos</t>
  </si>
  <si>
    <t xml:space="preserve"> IRS; Seg. Social; Outros</t>
  </si>
  <si>
    <t xml:space="preserve"> Pressuposto de exploração</t>
  </si>
  <si>
    <t xml:space="preserve"> Rendimentos a reconhecer</t>
  </si>
  <si>
    <t>Tesouraria Passiva</t>
  </si>
  <si>
    <t>Quadro E.1: Indicadores FMF, NFM e TL</t>
  </si>
  <si>
    <t>Rubricas e Indicadores</t>
  </si>
  <si>
    <t>FMF = RE - AFL</t>
  </si>
  <si>
    <t>NFM = NC - RC</t>
  </si>
  <si>
    <t>TL = TA - TP</t>
  </si>
  <si>
    <t>TL = FMF - NFM</t>
  </si>
  <si>
    <t>Demonstração dos resultados a 31 de dezembro</t>
  </si>
  <si>
    <t>RENDIMENTOS E GASTOS</t>
  </si>
  <si>
    <t>Vendas e serviços prestados</t>
  </si>
  <si>
    <t>Subsídios à exploração</t>
  </si>
  <si>
    <t>Variação nos inventários da produção</t>
  </si>
  <si>
    <t>Trabalhos para a própria entidade</t>
  </si>
  <si>
    <t>Custo das mercadorias vendidas e matérias consumidas</t>
  </si>
  <si>
    <t>Fornecimentos e serviços externos</t>
  </si>
  <si>
    <t>Gastos com pessoal</t>
  </si>
  <si>
    <t>Imparidade de inventários (perdas/reversões)</t>
  </si>
  <si>
    <t>Imparidade de dívidas a receber (perdas/reversões)</t>
  </si>
  <si>
    <t>Aumentos/reduções de justo valor</t>
  </si>
  <si>
    <t>Ganhos/Perdas em empresas do grupo</t>
  </si>
  <si>
    <t>Outros rendimentos e ganhos</t>
  </si>
  <si>
    <t>Outros gastos e perdas</t>
  </si>
  <si>
    <t>Resultado antes de depreciações, gastos de financiamento e impostos</t>
  </si>
  <si>
    <t>Gastos/reversões de depreciação e de amortização</t>
  </si>
  <si>
    <t>Imparidade de investimentos depreciáveis/amortizáveis (perdas/reversões)</t>
  </si>
  <si>
    <t>Resultado Operacional (antes de gastos de financiamento e impostos)</t>
  </si>
  <si>
    <t>Juros e rendimentos similares obtidos</t>
  </si>
  <si>
    <t>Juros de empresas do grupo</t>
  </si>
  <si>
    <t>Juros e gastos similares suportados</t>
  </si>
  <si>
    <t>Resultado antes de impostos</t>
  </si>
  <si>
    <t>Imposto s/ rendimento do período</t>
  </si>
  <si>
    <t>Imposto diferido</t>
  </si>
  <si>
    <t>Demonstração dos Fluxos de Caixa a 31 de dezembro</t>
  </si>
  <si>
    <t>ATIVIDADES OPERACIONAIS</t>
  </si>
  <si>
    <t>Recebimentos de Clientes</t>
  </si>
  <si>
    <t>Pagamentos a Fornecedores</t>
  </si>
  <si>
    <t>Pagamentos ao Pessoal</t>
  </si>
  <si>
    <t>Fluxo de caixa gerado pelas operações</t>
  </si>
  <si>
    <t>Pagamento/Recebimento do imposto sobre o valor acrescentado</t>
  </si>
  <si>
    <t>Pagamento/Recebimento do imposto sobre o rendimento</t>
  </si>
  <si>
    <t>Outros recebimentos/pagamentos</t>
  </si>
  <si>
    <t>FLUXO GERADO PELAS ATIVIDADES OPERACIONAIS</t>
  </si>
  <si>
    <t>ATIVIDADES DE INVESTIMENTO</t>
  </si>
  <si>
    <t>Pagamentos de:</t>
  </si>
  <si>
    <t xml:space="preserve"> - Ativos Fixos Tangíveis</t>
  </si>
  <si>
    <t xml:space="preserve"> - Ativos Fixos Intangíveis</t>
  </si>
  <si>
    <t xml:space="preserve"> - Investimentos Financeiros</t>
  </si>
  <si>
    <t xml:space="preserve"> - Outros Ativos</t>
  </si>
  <si>
    <t xml:space="preserve"> - Subsídios ao Investimento</t>
  </si>
  <si>
    <t>Recebimentos de:</t>
  </si>
  <si>
    <t xml:space="preserve"> - Juros e Rendimentos similares</t>
  </si>
  <si>
    <t xml:space="preserve"> - Dividendos</t>
  </si>
  <si>
    <t>FLUXO GERADO PELAS ATIVIDADES INVESTIMENTO</t>
  </si>
  <si>
    <t>ATIVIDADES DE FINANCIAMENTO</t>
  </si>
  <si>
    <t xml:space="preserve"> - Financiamentos Obtidos</t>
  </si>
  <si>
    <t xml:space="preserve"> - Realizações de capital e de outros instrumentos de Capital Próprio</t>
  </si>
  <si>
    <t xml:space="preserve"> - Cobertura de Prejuízos</t>
  </si>
  <si>
    <t xml:space="preserve"> - Doações</t>
  </si>
  <si>
    <t xml:space="preserve"> - Juros e rendimentos similares</t>
  </si>
  <si>
    <t xml:space="preserve"> - Outras operações de financiamento</t>
  </si>
  <si>
    <t xml:space="preserve"> - Juros e gastos similares</t>
  </si>
  <si>
    <t xml:space="preserve"> - Reduções de Capital e de outros instrumentos de Capital Próprio</t>
  </si>
  <si>
    <t xml:space="preserve"> - Aquisições de Ações Próprias</t>
  </si>
  <si>
    <t xml:space="preserve"> - Outras operações financiamento </t>
  </si>
  <si>
    <t>FLUXO GERADO PELAS ATIVIDADES FINANCIAMENTO</t>
  </si>
  <si>
    <t>VARIAÇÃO de CAIXA e EQUIVALENTES</t>
  </si>
  <si>
    <t>Efeito das diferenças de câmbio</t>
  </si>
  <si>
    <t>CAIXA e EQUIVALENTES no ÍNICIO do PERÍODO</t>
  </si>
  <si>
    <t>CAIXA e EQUIVALENTES no FIM do PERÍODO</t>
  </si>
  <si>
    <t>Numeros Índice Base Móvel = (rubrica / ano anterior) x 100</t>
  </si>
  <si>
    <t>Mapa de Mutação de Valores</t>
  </si>
  <si>
    <t>Valores Relativos</t>
  </si>
  <si>
    <t>Índices de Base Fixa (IBF)</t>
  </si>
  <si>
    <t>Índices de Base Móvel (IBM)</t>
  </si>
  <si>
    <t>Valores Absolutos (€)</t>
  </si>
  <si>
    <t>(2023) - (2022)</t>
  </si>
  <si>
    <t>(2024) - (2023)</t>
  </si>
  <si>
    <t>Valor (€)</t>
  </si>
  <si>
    <t>%</t>
  </si>
  <si>
    <t>IBF</t>
  </si>
  <si>
    <t>IBM</t>
  </si>
  <si>
    <t>(2023-2022)</t>
  </si>
  <si>
    <t>(2024)-(2023)</t>
  </si>
  <si>
    <t>O Mapa de Mutação de Valores tem como objetivo facilitar a análise dos aumentos e diminuições nos Rendimentos, Gastos e Resultados. Pelo que o sinal (+) mostra o aumento e o sinal (-) a redução. Assim, tendo em conta que os Gastos têm sinal (-) deve-se considerar a alteração da fórmula. Exceto naqueles em que os valores alternam entre positivos e negativos</t>
  </si>
  <si>
    <t>Aumento de gastos com MVMC</t>
  </si>
  <si>
    <t>Diminuição de gastos com FSE em 2023 e aumento em 2024</t>
  </si>
  <si>
    <t>Aumento de Gastos c/Pessoal</t>
  </si>
  <si>
    <t>Diminuição de perdas por imparidade</t>
  </si>
  <si>
    <t>Aumento de outros gastos em 2023 e diminuição de gastos em 2024</t>
  </si>
  <si>
    <t>Diminuição de gastos com Depreciações</t>
  </si>
  <si>
    <t>Aumento de juros suportados</t>
  </si>
  <si>
    <t>Aumento de impostos em 2023 e diminuição de impostos em 2024</t>
  </si>
  <si>
    <t>Ajuste da fórmula de cálculo de variação de valores</t>
  </si>
  <si>
    <t>Casos em que o índice não representa a realidade que se pretende avaliar</t>
  </si>
  <si>
    <t>Quadro E.2: Síntese dos valores do balanço funcional e cálculos auxiliares</t>
  </si>
  <si>
    <r>
      <t xml:space="preserve">2021 </t>
    </r>
    <r>
      <rPr>
        <b/>
        <vertAlign val="superscript"/>
        <sz val="11"/>
        <color theme="1"/>
        <rFont val="Calibri"/>
        <family val="2"/>
        <scheme val="minor"/>
      </rPr>
      <t>(I)</t>
    </r>
  </si>
  <si>
    <t>AFL</t>
  </si>
  <si>
    <t>AFL Exploração</t>
  </si>
  <si>
    <t>AFT + Inangíveis</t>
  </si>
  <si>
    <r>
      <t xml:space="preserve">AFL Exploração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</si>
  <si>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t>-----</t>
  </si>
  <si>
    <r>
      <t xml:space="preserve">Inventários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</si>
  <si>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r>
      <t xml:space="preserve">Matérias primas e </t>
    </r>
    <r>
      <rPr>
        <sz val="11"/>
        <color rgb="FFFF0000"/>
        <rFont val="Calibri"/>
        <family val="2"/>
        <scheme val="minor"/>
      </rPr>
      <t>mercadorias</t>
    </r>
  </si>
  <si>
    <t>Ver se os subprodutos entram ou não/mercadorias</t>
  </si>
  <si>
    <r>
      <t xml:space="preserve">Matérias primas e </t>
    </r>
    <r>
      <rPr>
        <sz val="11"/>
        <color rgb="FFFF0000"/>
        <rFont val="Calibri"/>
        <family val="2"/>
        <scheme val="minor"/>
      </rPr>
      <t xml:space="preserve">mercadorias </t>
    </r>
    <r>
      <rPr>
        <vertAlign val="subscript"/>
        <sz val="11"/>
        <color rgb="FFFF0000"/>
        <rFont val="Calibri"/>
        <family val="2"/>
        <scheme val="minor"/>
      </rPr>
      <t>média do período</t>
    </r>
  </si>
  <si>
    <r>
      <t xml:space="preserve">(Clientes - Adiantamentos de clientes)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</si>
  <si>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t>Meios financeiros líquidos (MFL)</t>
  </si>
  <si>
    <t>Caixa e DO</t>
  </si>
  <si>
    <t>Ativo corrente (NC+TA)</t>
  </si>
  <si>
    <r>
      <t xml:space="preserve">Ativo corrente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</si>
  <si>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t>Total do ativo</t>
  </si>
  <si>
    <r>
      <t xml:space="preserve">Total do ativo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</si>
  <si>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t>Capital próprio</t>
  </si>
  <si>
    <r>
      <t xml:space="preserve">Capital próprio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</si>
  <si>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r>
      <t>Capital próprio excluindo o RLP</t>
    </r>
    <r>
      <rPr>
        <sz val="8"/>
        <color theme="1"/>
        <rFont val="Calibri"/>
        <family val="2"/>
        <scheme val="minor"/>
      </rPr>
      <t xml:space="preserve"> (N)</t>
    </r>
  </si>
  <si>
    <r>
      <t xml:space="preserve">Capital Próprio excluindo o RLP </t>
    </r>
    <r>
      <rPr>
        <sz val="8"/>
        <color theme="1"/>
        <rFont val="Calibri"/>
        <family val="2"/>
        <scheme val="minor"/>
      </rPr>
      <t>(N)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</si>
  <si>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t>(II)</t>
  </si>
  <si>
    <t>ver se é o de sem com o RLP ou sem o rLP</t>
  </si>
  <si>
    <t>Passivo não corrente</t>
  </si>
  <si>
    <t>Recursos estáveis</t>
  </si>
  <si>
    <t xml:space="preserve"> Nota 13 do Anexo</t>
  </si>
  <si>
    <r>
      <t xml:space="preserve">(Fornec. - Adiantamentos a fornec.)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</si>
  <si>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t>Passivo corrente (RC+TP)</t>
  </si>
  <si>
    <t>Total Cap. próprio + Passivo</t>
  </si>
  <si>
    <r>
      <t xml:space="preserve">(Total do Cap. próprio + Passivo) </t>
    </r>
    <r>
      <rPr>
        <vertAlign val="subscript"/>
        <sz val="11"/>
        <color theme="1"/>
        <rFont val="Calibri"/>
        <family val="2"/>
        <scheme val="minor"/>
      </rPr>
      <t>média do período</t>
    </r>
  </si>
  <si>
    <t>Notas:</t>
  </si>
  <si>
    <t>(I) A consideração do ano 2021 tem como objetivo calcular os valores da média do período para os anos 2022, 2023, 2024.</t>
  </si>
  <si>
    <r>
      <t xml:space="preserve">(II) No cálculo do valor do Capital Próprio excluindo o RLP </t>
    </r>
    <r>
      <rPr>
        <sz val="8"/>
        <color rgb="FF0070C0"/>
        <rFont val="Calibri"/>
        <family val="2"/>
        <scheme val="minor"/>
      </rPr>
      <t>(N)</t>
    </r>
    <r>
      <rPr>
        <sz val="10"/>
        <color rgb="FF0070C0"/>
        <rFont val="Calibri"/>
        <family val="2"/>
        <scheme val="minor"/>
      </rPr>
      <t xml:space="preserve"> </t>
    </r>
    <r>
      <rPr>
        <vertAlign val="subscript"/>
        <sz val="10"/>
        <color rgb="FF0070C0"/>
        <rFont val="Calibri"/>
        <family val="2"/>
        <scheme val="minor"/>
      </rPr>
      <t>média do período</t>
    </r>
    <r>
      <rPr>
        <sz val="10"/>
        <color rgb="FF0070C0"/>
        <rFont val="Calibri"/>
        <family val="2"/>
        <scheme val="minor"/>
      </rPr>
      <t xml:space="preserve"> apenas é retirado o RLP do ano em questão (ano </t>
    </r>
    <r>
      <rPr>
        <sz val="8"/>
        <color rgb="FF0070C0"/>
        <rFont val="Calibri"/>
        <family val="2"/>
        <scheme val="minor"/>
      </rPr>
      <t>(N)</t>
    </r>
    <r>
      <rPr>
        <sz val="10"/>
        <color rgb="FF0070C0"/>
        <rFont val="Calibri"/>
        <family val="2"/>
        <scheme val="minor"/>
      </rPr>
      <t>).</t>
    </r>
  </si>
  <si>
    <t>Quadro E.3: Síntese dos valores da demostração dos resultados e cálculos auxiliares</t>
  </si>
  <si>
    <r>
      <t xml:space="preserve">2021 </t>
    </r>
    <r>
      <rPr>
        <b/>
        <vertAlign val="superscript"/>
        <sz val="11"/>
        <color theme="1"/>
        <rFont val="Calibri"/>
        <family val="2"/>
        <scheme val="minor"/>
      </rPr>
      <t>(III)</t>
    </r>
  </si>
  <si>
    <t>Volume de negócios</t>
  </si>
  <si>
    <t>(IV)</t>
  </si>
  <si>
    <t xml:space="preserve"> ----</t>
  </si>
  <si>
    <t>Volume de negócios com IVA</t>
  </si>
  <si>
    <t>(V)</t>
  </si>
  <si>
    <t xml:space="preserve">VN com IVA = VN mercado interno x 1,23 +VN mercado externo </t>
  </si>
  <si>
    <t>CMVMC</t>
  </si>
  <si>
    <t>DR</t>
  </si>
  <si>
    <t>ver se é menosl ou masi</t>
  </si>
  <si>
    <t>Compras</t>
  </si>
  <si>
    <t>Nota 28 Anexo</t>
  </si>
  <si>
    <t>Compras com IVA</t>
  </si>
  <si>
    <t xml:space="preserve">Compras com IVA = Compras mercado interno x 1,23 + Compras mercado externo </t>
  </si>
  <si>
    <t>FSE adquiridos a crédito (trabalhos especializados)</t>
  </si>
  <si>
    <t>(VI)</t>
  </si>
  <si>
    <t>Taxas no quadro E.7 e FSE a crédito no E.6</t>
  </si>
  <si>
    <t>FSE adquiridos a crédito (trabalhos especializados) com IVA</t>
  </si>
  <si>
    <t xml:space="preserve">FSE com IVA = FSE mercado interno x 1,23 x FSE mercado externo </t>
  </si>
  <si>
    <t>Resultado operacional (EBIT)</t>
  </si>
  <si>
    <t>Rendimentos financeiros</t>
  </si>
  <si>
    <t>Juros e rendimentos similares obtidos (DR)</t>
  </si>
  <si>
    <t>Gastos financeiros</t>
  </si>
  <si>
    <t>Juros e gastos similares suportados e juros das empresas do grupo (DR)</t>
  </si>
  <si>
    <t>(III) Nestas rubricas não é necessário considerar os valores de 2021, já que não se calculam valores da média do período neste quadro.</t>
  </si>
  <si>
    <t>(IV) Volume de Negócios = vendas + serviços prestados</t>
  </si>
  <si>
    <t>(V) Considerar apenas o IVA no VN, Compras e FSE do mercado interno. As taxas de IVA são as que constam do quadro E.7.</t>
  </si>
  <si>
    <t xml:space="preserve">(VI) De acordo com o Anexo da Bial, nota 14: Fornecedores correntes – corresponde, maioritariamente, a fornecedores de matérias-primas e prestadores de serviços de I&amp;D - que são os serviços especializados no detalhe de FSE (nota 21). </t>
  </si>
  <si>
    <t>Quadro E.4: Informação da nota 25 do Anexo e informação adicional - Volume de negócios por mercado</t>
  </si>
  <si>
    <t>Mercado interno</t>
  </si>
  <si>
    <t>Mercado externo</t>
  </si>
  <si>
    <t>Total VN</t>
  </si>
  <si>
    <t>Quadro E.5: Pressupostos relativos às compras e FSE----ENUNCIADO-Compras e FSE por mercados</t>
  </si>
  <si>
    <t xml:space="preserve">    Compras</t>
  </si>
  <si>
    <t>(VII)</t>
  </si>
  <si>
    <t xml:space="preserve">    FSE</t>
  </si>
  <si>
    <t>(VIII)</t>
  </si>
  <si>
    <t>Total de compras e FSE</t>
  </si>
  <si>
    <t>(VII) Compras: respeita à aquisição de mat. primas, sub. e mercadorias</t>
  </si>
  <si>
    <t>(VIII) FSE: nem todos os FSE são comprados a crédito. Logo, a seguir detalham-se os valores, por mercado, dos FSE adquiridos a crédito</t>
  </si>
  <si>
    <t>Quadro E.6: Detalhe, por mercados, dos FSE que são adquiridos a crédito</t>
  </si>
  <si>
    <t>Quadro E.7: Taxas de IVA aplicadas às vendas, serviços prestados, compras e FSE----ENUNCIADO</t>
  </si>
  <si>
    <t>Volume de negócios (vendas e serviços prest.)</t>
  </si>
  <si>
    <t>FSE (exceto água)</t>
  </si>
  <si>
    <t>FSE (àgua)</t>
  </si>
  <si>
    <t>Quadro E.8: Cálculo dos indicadores e rácios de equilíbrio financeiro de curto prazo e comparação com o setor</t>
  </si>
  <si>
    <t>Indicadores e rácios</t>
  </si>
  <si>
    <t>Bial</t>
  </si>
  <si>
    <t>Fórmula</t>
  </si>
  <si>
    <t>Valores do setor  (ano / quartil)</t>
  </si>
  <si>
    <r>
      <t xml:space="preserve">2021 </t>
    </r>
    <r>
      <rPr>
        <b/>
        <vertAlign val="superscript"/>
        <sz val="11"/>
        <rFont val="Calibri"/>
        <family val="2"/>
        <scheme val="minor"/>
      </rPr>
      <t>(IX)</t>
    </r>
  </si>
  <si>
    <t>Rotação de Inventários</t>
  </si>
  <si>
    <t>(X)</t>
  </si>
  <si>
    <r>
      <rPr>
        <sz val="11"/>
        <color theme="1"/>
        <rFont val="Calibri"/>
        <family val="2"/>
        <scheme val="minor"/>
      </rPr>
      <t>CPV</t>
    </r>
    <r>
      <rPr>
        <sz val="11"/>
        <rFont val="Calibri"/>
        <family val="2"/>
        <scheme val="minor"/>
      </rPr>
      <t xml:space="preserve"> / (Inv.+A. biológicos) </t>
    </r>
    <r>
      <rPr>
        <vertAlign val="subscript"/>
        <sz val="11"/>
        <rFont val="Calibri"/>
        <family val="2"/>
        <scheme val="minor"/>
      </rPr>
      <t>média do período</t>
    </r>
  </si>
  <si>
    <t>Rotação de matérias primas e mercadorias</t>
  </si>
  <si>
    <r>
      <t xml:space="preserve">CMVMC / (Mat. primas + Merc.) </t>
    </r>
    <r>
      <rPr>
        <vertAlign val="subscript"/>
        <sz val="11"/>
        <rFont val="Calibri"/>
        <family val="2"/>
        <scheme val="minor"/>
      </rPr>
      <t>média do período</t>
    </r>
  </si>
  <si>
    <t>DMI   (Dias)</t>
  </si>
  <si>
    <r>
      <t xml:space="preserve">[(Inv.+A. biológicos) </t>
    </r>
    <r>
      <rPr>
        <vertAlign val="subscript"/>
        <sz val="11"/>
        <rFont val="Calibri"/>
        <family val="2"/>
        <scheme val="minor"/>
      </rPr>
      <t>média do período</t>
    </r>
    <r>
      <rPr>
        <sz val="11"/>
        <rFont val="Calibri"/>
        <family val="2"/>
        <scheme val="minor"/>
      </rPr>
      <t xml:space="preserve"> /CPV]x365</t>
    </r>
  </si>
  <si>
    <t>Q3</t>
  </si>
  <si>
    <t>DMMP&amp;M   (Dias)</t>
  </si>
  <si>
    <r>
      <t xml:space="preserve">[(Mat. primas+Merc.) </t>
    </r>
    <r>
      <rPr>
        <vertAlign val="subscript"/>
        <sz val="11"/>
        <rFont val="Calibri"/>
        <family val="2"/>
        <scheme val="minor"/>
      </rPr>
      <t>média do período</t>
    </r>
    <r>
      <rPr>
        <sz val="11"/>
        <rFont val="Calibri"/>
        <family val="2"/>
        <scheme val="minor"/>
      </rPr>
      <t xml:space="preserve"> /CMVMC]x365</t>
    </r>
  </si>
  <si>
    <t>PMR  (Dias)</t>
  </si>
  <si>
    <r>
      <t xml:space="preserve">[[(Clientes - Adiant. de clientes) </t>
    </r>
    <r>
      <rPr>
        <vertAlign val="subscript"/>
        <sz val="11"/>
        <rFont val="Calibri"/>
        <family val="2"/>
        <scheme val="minor"/>
      </rPr>
      <t>méd. do período</t>
    </r>
    <r>
      <rPr>
        <sz val="11"/>
        <rFont val="Calibri"/>
        <family val="2"/>
        <scheme val="minor"/>
      </rPr>
      <t>]/(VN com IVA)]x365</t>
    </r>
  </si>
  <si>
    <t>Q2</t>
  </si>
  <si>
    <t>PMP  (Dias)</t>
  </si>
  <si>
    <t>(XI)</t>
  </si>
  <si>
    <r>
      <t xml:space="preserve">[[(Fornec. - Adiant. a fornec.) </t>
    </r>
    <r>
      <rPr>
        <vertAlign val="subscript"/>
        <sz val="11"/>
        <rFont val="Calibri"/>
        <family val="2"/>
        <scheme val="minor"/>
      </rPr>
      <t>méd. do período</t>
    </r>
    <r>
      <rPr>
        <sz val="11"/>
        <rFont val="Calibri"/>
        <family val="2"/>
        <scheme val="minor"/>
      </rPr>
      <t>]/(Comp. com IVA+FSE com IVA)]x365</t>
    </r>
  </si>
  <si>
    <t>Rotação do ativo total</t>
  </si>
  <si>
    <r>
      <t xml:space="preserve">VN / Total do ativo </t>
    </r>
    <r>
      <rPr>
        <vertAlign val="subscript"/>
        <sz val="11"/>
        <rFont val="Calibri"/>
        <family val="2"/>
        <scheme val="minor"/>
      </rPr>
      <t>média do período</t>
    </r>
  </si>
  <si>
    <t>Rotação das AFL exploração</t>
  </si>
  <si>
    <r>
      <t xml:space="preserve">VN / AFL Expl. </t>
    </r>
    <r>
      <rPr>
        <vertAlign val="subscript"/>
        <sz val="11"/>
        <rFont val="Calibri"/>
        <family val="2"/>
        <scheme val="minor"/>
      </rPr>
      <t>média do período</t>
    </r>
  </si>
  <si>
    <t>Rotação do ativo corrente</t>
  </si>
  <si>
    <r>
      <t xml:space="preserve">VN / Ativo corrente </t>
    </r>
    <r>
      <rPr>
        <vertAlign val="subscript"/>
        <sz val="11"/>
        <rFont val="Calibri"/>
        <family val="2"/>
        <scheme val="minor"/>
      </rPr>
      <t>média do período</t>
    </r>
  </si>
  <si>
    <t>Rotação do capital próprio</t>
  </si>
  <si>
    <r>
      <t xml:space="preserve">VN / Capital próprio </t>
    </r>
    <r>
      <rPr>
        <vertAlign val="subscript"/>
        <sz val="11"/>
        <rFont val="Calibri"/>
        <family val="2"/>
        <scheme val="minor"/>
      </rPr>
      <t>média do período</t>
    </r>
  </si>
  <si>
    <r>
      <t xml:space="preserve">Rotação do capital próprio excluindo o RLP </t>
    </r>
    <r>
      <rPr>
        <sz val="8"/>
        <rFont val="Calibri"/>
        <family val="2"/>
        <scheme val="minor"/>
      </rPr>
      <t>(N)</t>
    </r>
  </si>
  <si>
    <r>
      <t>VN / Capital Próprio excluindo o RLP</t>
    </r>
    <r>
      <rPr>
        <sz val="8"/>
        <rFont val="Calibri"/>
        <family val="2"/>
        <scheme val="minor"/>
      </rPr>
      <t xml:space="preserve"> (N)</t>
    </r>
    <r>
      <rPr>
        <sz val="11"/>
        <rFont val="Calibri"/>
        <family val="2"/>
        <scheme val="minor"/>
      </rPr>
      <t xml:space="preserve"> </t>
    </r>
    <r>
      <rPr>
        <vertAlign val="subscript"/>
        <sz val="11"/>
        <rFont val="Calibri"/>
        <family val="2"/>
        <scheme val="minor"/>
      </rPr>
      <t>média do período</t>
    </r>
  </si>
  <si>
    <t>DCO  (Dias)</t>
  </si>
  <si>
    <t>DMI + PMR</t>
  </si>
  <si>
    <t>(XII)</t>
  </si>
  <si>
    <t>DCF  (Dias)</t>
  </si>
  <si>
    <t>DCO - PMP</t>
  </si>
  <si>
    <t>Liquidez geral (LG)</t>
  </si>
  <si>
    <t>Ativo corrente / Passivo corrente</t>
  </si>
  <si>
    <t>Liquidez reduzida (LR)</t>
  </si>
  <si>
    <t>[Ativo corrente - (Inv.+ A. biológicos)] / Passivo corrente</t>
  </si>
  <si>
    <t>Liquidez imediata (LI)</t>
  </si>
  <si>
    <t>MFL / Passivo corrente</t>
  </si>
  <si>
    <t>(IX) A análise económica e financeira incide sobre o triénio 2022-2024, pelo que não são calculados os valores dos indicadores e rácios de 2021.</t>
  </si>
  <si>
    <t>(XII) Cálculos baseados nos rácios de DMI, PMR e PMP considerados para comparação da Bial com o setor.</t>
  </si>
  <si>
    <t>(X) A Bial não possui ativos biológicos. Face à informação disponível, não é possível obter o valor do CPV, pelo que se considera no cálculo dos rácios o CMVMC.</t>
  </si>
  <si>
    <t>(XI) Considera-se para o cálculo do PMP, no respetivo denominador, compras com IVA + FSE a crédito com IVA (ver nota VIII)</t>
  </si>
  <si>
    <t>Quadro E.9: Cálculo dos rácios de equilíbrio financeiro de médio e longo prazo e comparação com o setor</t>
  </si>
  <si>
    <t>ver se é em %</t>
  </si>
  <si>
    <t>Rácios</t>
  </si>
  <si>
    <t>JJ Teixeira</t>
  </si>
  <si>
    <r>
      <t xml:space="preserve">2021 </t>
    </r>
    <r>
      <rPr>
        <b/>
        <vertAlign val="superscript"/>
        <sz val="11"/>
        <color theme="1"/>
        <rFont val="Calibri"/>
        <family val="2"/>
        <scheme val="minor"/>
      </rPr>
      <t>(IX)</t>
    </r>
  </si>
  <si>
    <t>Autonomia</t>
  </si>
  <si>
    <t>Capital próprio / Total do ativo</t>
  </si>
  <si>
    <t>Endividamento</t>
  </si>
  <si>
    <t>Passivo / Capital total                                      (Capital total = Cap. próprio + Passivo)</t>
  </si>
  <si>
    <t>Pode ser calculado a partir do rácio de autonomia</t>
  </si>
  <si>
    <t>Estrutura do endividamento</t>
  </si>
  <si>
    <t>Passivo corrente / Passivo</t>
  </si>
  <si>
    <t>Rácio de estrutura do passivo</t>
  </si>
  <si>
    <t>Passivo corrente / Passivo não corrente</t>
  </si>
  <si>
    <t>Estabilidade do financiamento</t>
  </si>
  <si>
    <t>Recursos estáveis / Capital total</t>
  </si>
  <si>
    <t>Rácio de Estrutura</t>
  </si>
  <si>
    <t>Passivo não Corrente / Capital próprio</t>
  </si>
  <si>
    <t>Cobertura de AFL por recursos estáveis</t>
  </si>
  <si>
    <t>Recursos estáveis / AFL</t>
  </si>
  <si>
    <t>Cobertura de AFL por capital próprio</t>
  </si>
  <si>
    <t>Capital próprio / AFL</t>
  </si>
  <si>
    <t>Solvabilidade</t>
  </si>
  <si>
    <t>Capital próprio / Passivo</t>
  </si>
  <si>
    <t>Solvabilidade em sentido restrito</t>
  </si>
  <si>
    <t>Total do ativo / Passivo</t>
  </si>
  <si>
    <t>Cobertura de gastos de financiamento</t>
  </si>
  <si>
    <t>(EBIT + Rendimentos financ.) / Gastos financeiros</t>
  </si>
  <si>
    <t>Gastos de financiamento / VN</t>
  </si>
  <si>
    <t>Gastos financeiros / VN</t>
  </si>
  <si>
    <t>Informações adicionais</t>
  </si>
  <si>
    <t>Informações sobre o volume de negócios (VN)</t>
  </si>
  <si>
    <t>Informações sobre compras e FSE</t>
  </si>
  <si>
    <t>Taxas de IVA aplicadas às vendas, serviços prestados, compras e FSE</t>
  </si>
  <si>
    <t>FSE -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</si>
</sst>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Arial"/>
      <family val="2"/>
    </font>
    <font>
      <b/>
      <sz val="10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vertAlign val="subscript"/>
      <sz val="10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EE3E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2060"/>
      </bottom>
      <diagonal/>
    </border>
    <border>
      <left style="thin">
        <color auto="1"/>
      </left>
      <right/>
      <top style="thin">
        <color auto="1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rgb="FF00206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rgb="FF002060"/>
      </bottom>
      <diagonal/>
    </border>
    <border>
      <left style="thin">
        <color auto="1"/>
      </left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/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hair">
        <color rgb="FF002060"/>
      </top>
      <bottom style="thin">
        <color rgb="FF00206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/>
  </cellStyleXfs>
  <cellXfs count="350">
    <xf numFmtId="0" fontId="0" fillId="0" borderId="0" xfId="0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4" fillId="0" borderId="3" xfId="0" applyFont="1" applyBorder="1" applyAlignment="1">
      <alignment horizontal="center"/>
    </xf>
    <xf numFmtId="0" fontId="3" fillId="0" borderId="3" xfId="0" applyFont="1" applyBorder="1"/>
    <xf numFmtId="4" fontId="3" fillId="0" borderId="3" xfId="0" applyNumberFormat="1" applyFont="1" applyBorder="1"/>
    <xf numFmtId="0" fontId="4" fillId="0" borderId="3" xfId="0" applyFont="1" applyBorder="1"/>
    <xf numFmtId="1" fontId="4" fillId="2" borderId="1" xfId="0" applyNumberFormat="1" applyFont="1" applyFill="1" applyBorder="1" applyAlignment="1">
      <alignment horizontal="center"/>
    </xf>
    <xf numFmtId="0" fontId="4" fillId="0" borderId="6" xfId="0" applyFont="1" applyBorder="1"/>
    <xf numFmtId="0" fontId="3" fillId="0" borderId="6" xfId="0" applyFont="1" applyBorder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3" fontId="3" fillId="0" borderId="3" xfId="0" applyNumberFormat="1" applyFont="1" applyBorder="1"/>
    <xf numFmtId="3" fontId="4" fillId="0" borderId="1" xfId="0" applyNumberFormat="1" applyFont="1" applyBorder="1"/>
    <xf numFmtId="3" fontId="4" fillId="0" borderId="5" xfId="0" applyNumberFormat="1" applyFont="1" applyBorder="1"/>
    <xf numFmtId="3" fontId="4" fillId="0" borderId="6" xfId="0" applyNumberFormat="1" applyFont="1" applyBorder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/>
    <xf numFmtId="0" fontId="4" fillId="0" borderId="3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/>
    <xf numFmtId="0" fontId="4" fillId="2" borderId="1" xfId="0" applyFont="1" applyFill="1" applyBorder="1" applyAlignment="1">
      <alignment horizontal="center"/>
    </xf>
    <xf numFmtId="3" fontId="4" fillId="0" borderId="3" xfId="0" applyNumberFormat="1" applyFont="1" applyBorder="1"/>
    <xf numFmtId="3" fontId="3" fillId="0" borderId="8" xfId="0" applyNumberFormat="1" applyFont="1" applyBorder="1"/>
    <xf numFmtId="3" fontId="4" fillId="0" borderId="8" xfId="0" applyNumberFormat="1" applyFont="1" applyBorder="1"/>
    <xf numFmtId="0" fontId="3" fillId="3" borderId="2" xfId="0" applyFont="1" applyFill="1" applyBorder="1"/>
    <xf numFmtId="0" fontId="3" fillId="3" borderId="3" xfId="0" applyFont="1" applyFill="1" applyBorder="1"/>
    <xf numFmtId="3" fontId="3" fillId="3" borderId="3" xfId="0" applyNumberFormat="1" applyFont="1" applyFill="1" applyBorder="1"/>
    <xf numFmtId="3" fontId="4" fillId="3" borderId="1" xfId="0" applyNumberFormat="1" applyFont="1" applyFill="1" applyBorder="1"/>
    <xf numFmtId="3" fontId="4" fillId="3" borderId="5" xfId="0" applyNumberFormat="1" applyFont="1" applyFill="1" applyBorder="1"/>
    <xf numFmtId="3" fontId="4" fillId="3" borderId="3" xfId="0" applyNumberFormat="1" applyFont="1" applyFill="1" applyBorder="1"/>
    <xf numFmtId="3" fontId="4" fillId="3" borderId="6" xfId="0" applyNumberFormat="1" applyFont="1" applyFill="1" applyBorder="1"/>
    <xf numFmtId="3" fontId="3" fillId="4" borderId="3" xfId="0" applyNumberFormat="1" applyFont="1" applyFill="1" applyBorder="1"/>
    <xf numFmtId="0" fontId="3" fillId="4" borderId="1" xfId="0" applyFont="1" applyFill="1" applyBorder="1"/>
    <xf numFmtId="165" fontId="3" fillId="3" borderId="3" xfId="1" applyNumberFormat="1" applyFont="1" applyFill="1" applyBorder="1"/>
    <xf numFmtId="165" fontId="4" fillId="3" borderId="1" xfId="1" applyNumberFormat="1" applyFont="1" applyFill="1" applyBorder="1"/>
    <xf numFmtId="165" fontId="4" fillId="3" borderId="5" xfId="1" applyNumberFormat="1" applyFont="1" applyFill="1" applyBorder="1"/>
    <xf numFmtId="165" fontId="4" fillId="3" borderId="3" xfId="1" applyNumberFormat="1" applyFont="1" applyFill="1" applyBorder="1"/>
    <xf numFmtId="165" fontId="4" fillId="3" borderId="6" xfId="1" applyNumberFormat="1" applyFont="1" applyFill="1" applyBorder="1"/>
    <xf numFmtId="164" fontId="3" fillId="3" borderId="2" xfId="0" applyNumberFormat="1" applyFont="1" applyFill="1" applyBorder="1"/>
    <xf numFmtId="164" fontId="3" fillId="3" borderId="3" xfId="0" applyNumberFormat="1" applyFont="1" applyFill="1" applyBorder="1"/>
    <xf numFmtId="164" fontId="4" fillId="3" borderId="1" xfId="0" applyNumberFormat="1" applyFont="1" applyFill="1" applyBorder="1"/>
    <xf numFmtId="164" fontId="4" fillId="3" borderId="5" xfId="0" applyNumberFormat="1" applyFont="1" applyFill="1" applyBorder="1"/>
    <xf numFmtId="164" fontId="4" fillId="3" borderId="3" xfId="0" applyNumberFormat="1" applyFont="1" applyFill="1" applyBorder="1"/>
    <xf numFmtId="164" fontId="4" fillId="3" borderId="6" xfId="0" applyNumberFormat="1" applyFont="1" applyFill="1" applyBorder="1"/>
    <xf numFmtId="164" fontId="3" fillId="5" borderId="3" xfId="0" applyNumberFormat="1" applyFont="1" applyFill="1" applyBorder="1"/>
    <xf numFmtId="164" fontId="3" fillId="5" borderId="1" xfId="0" applyNumberFormat="1" applyFont="1" applyFill="1" applyBorder="1"/>
    <xf numFmtId="3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0" fontId="4" fillId="6" borderId="3" xfId="0" applyFont="1" applyFill="1" applyBorder="1" applyAlignment="1">
      <alignment horizontal="center"/>
    </xf>
    <xf numFmtId="4" fontId="3" fillId="6" borderId="3" xfId="0" applyNumberFormat="1" applyFont="1" applyFill="1" applyBorder="1"/>
    <xf numFmtId="3" fontId="3" fillId="6" borderId="3" xfId="0" applyNumberFormat="1" applyFont="1" applyFill="1" applyBorder="1"/>
    <xf numFmtId="3" fontId="3" fillId="0" borderId="4" xfId="0" applyNumberFormat="1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12" xfId="0" applyFont="1" applyBorder="1"/>
    <xf numFmtId="3" fontId="3" fillId="0" borderId="7" xfId="0" applyNumberFormat="1" applyFont="1" applyBorder="1"/>
    <xf numFmtId="0" fontId="3" fillId="2" borderId="10" xfId="0" applyFont="1" applyFill="1" applyBorder="1"/>
    <xf numFmtId="1" fontId="4" fillId="2" borderId="13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3" fontId="3" fillId="2" borderId="0" xfId="0" applyNumberFormat="1" applyFont="1" applyFill="1"/>
    <xf numFmtId="0" fontId="7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3" fontId="0" fillId="0" borderId="13" xfId="0" applyNumberFormat="1" applyBorder="1"/>
    <xf numFmtId="1" fontId="2" fillId="0" borderId="13" xfId="0" applyNumberFormat="1" applyFont="1" applyBorder="1" applyAlignment="1">
      <alignment horizontal="center"/>
    </xf>
    <xf numFmtId="3" fontId="2" fillId="0" borderId="13" xfId="0" applyNumberFormat="1" applyFont="1" applyBorder="1"/>
    <xf numFmtId="3" fontId="2" fillId="0" borderId="13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3" fontId="8" fillId="0" borderId="0" xfId="2" applyNumberFormat="1"/>
    <xf numFmtId="0" fontId="3" fillId="0" borderId="0" xfId="0" applyFont="1" applyAlignment="1">
      <alignment horizontal="left"/>
    </xf>
    <xf numFmtId="0" fontId="6" fillId="0" borderId="0" xfId="0" applyFont="1"/>
    <xf numFmtId="0" fontId="6" fillId="2" borderId="0" xfId="0" applyFont="1" applyFill="1"/>
    <xf numFmtId="3" fontId="9" fillId="0" borderId="5" xfId="0" applyNumberFormat="1" applyFont="1" applyBorder="1"/>
    <xf numFmtId="3" fontId="6" fillId="0" borderId="0" xfId="0" applyNumberFormat="1" applyFont="1"/>
    <xf numFmtId="0" fontId="3" fillId="0" borderId="17" xfId="0" applyFont="1" applyBorder="1"/>
    <xf numFmtId="0" fontId="3" fillId="0" borderId="16" xfId="0" applyFont="1" applyBorder="1" applyAlignment="1">
      <alignment horizontal="center"/>
    </xf>
    <xf numFmtId="3" fontId="3" fillId="0" borderId="16" xfId="0" applyNumberFormat="1" applyFont="1" applyBorder="1"/>
    <xf numFmtId="3" fontId="3" fillId="0" borderId="18" xfId="0" applyNumberFormat="1" applyFont="1" applyBorder="1"/>
    <xf numFmtId="0" fontId="3" fillId="0" borderId="15" xfId="0" applyFont="1" applyBorder="1"/>
    <xf numFmtId="0" fontId="3" fillId="0" borderId="14" xfId="0" applyFont="1" applyBorder="1" applyAlignment="1">
      <alignment horizontal="center"/>
    </xf>
    <xf numFmtId="3" fontId="3" fillId="0" borderId="14" xfId="0" applyNumberFormat="1" applyFont="1" applyBorder="1"/>
    <xf numFmtId="3" fontId="4" fillId="0" borderId="4" xfId="0" applyNumberFormat="1" applyFont="1" applyBorder="1"/>
    <xf numFmtId="0" fontId="3" fillId="0" borderId="12" xfId="0" applyFont="1" applyBorder="1" applyAlignment="1">
      <alignment horizontal="right"/>
    </xf>
    <xf numFmtId="0" fontId="3" fillId="0" borderId="16" xfId="0" applyFont="1" applyBorder="1"/>
    <xf numFmtId="4" fontId="0" fillId="0" borderId="0" xfId="0" applyNumberFormat="1"/>
    <xf numFmtId="3" fontId="2" fillId="0" borderId="0" xfId="0" applyNumberFormat="1" applyFont="1" applyAlignment="1">
      <alignment horizontal="right"/>
    </xf>
    <xf numFmtId="3" fontId="0" fillId="0" borderId="18" xfId="0" applyNumberFormat="1" applyBorder="1"/>
    <xf numFmtId="4" fontId="2" fillId="0" borderId="0" xfId="0" applyNumberFormat="1" applyFo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3" xfId="1" applyFont="1" applyFill="1" applyBorder="1" applyAlignment="1">
      <alignment horizontal="center"/>
    </xf>
    <xf numFmtId="0" fontId="0" fillId="0" borderId="16" xfId="0" applyBorder="1" applyAlignment="1">
      <alignment horizontal="left"/>
    </xf>
    <xf numFmtId="9" fontId="1" fillId="0" borderId="16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9" fontId="0" fillId="0" borderId="2" xfId="1" applyFont="1" applyFill="1" applyBorder="1" applyAlignment="1">
      <alignment horizontal="center"/>
    </xf>
    <xf numFmtId="0" fontId="6" fillId="0" borderId="0" xfId="0" applyFont="1" applyAlignment="1">
      <alignment wrapText="1"/>
    </xf>
    <xf numFmtId="3" fontId="0" fillId="0" borderId="0" xfId="0" applyNumberFormat="1" applyAlignment="1">
      <alignment wrapText="1"/>
    </xf>
    <xf numFmtId="1" fontId="2" fillId="0" borderId="0" xfId="0" applyNumberFormat="1" applyFont="1" applyAlignment="1">
      <alignment horizontal="center"/>
    </xf>
    <xf numFmtId="165" fontId="0" fillId="0" borderId="0" xfId="1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0" fontId="11" fillId="0" borderId="0" xfId="0" applyFont="1"/>
    <xf numFmtId="0" fontId="11" fillId="7" borderId="0" xfId="0" applyFont="1" applyFill="1"/>
    <xf numFmtId="0" fontId="11" fillId="7" borderId="0" xfId="0" applyFont="1" applyFill="1" applyAlignment="1">
      <alignment horizontal="center" vertical="center" wrapText="1"/>
    </xf>
    <xf numFmtId="0" fontId="9" fillId="0" borderId="0" xfId="3" applyFont="1"/>
    <xf numFmtId="0" fontId="2" fillId="0" borderId="0" xfId="0" applyFont="1"/>
    <xf numFmtId="1" fontId="13" fillId="7" borderId="1" xfId="0" applyNumberFormat="1" applyFont="1" applyFill="1" applyBorder="1" applyAlignment="1">
      <alignment horizontal="center"/>
    </xf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3" fontId="11" fillId="0" borderId="3" xfId="0" applyNumberFormat="1" applyFont="1" applyBorder="1"/>
    <xf numFmtId="0" fontId="13" fillId="6" borderId="3" xfId="0" applyFont="1" applyFill="1" applyBorder="1" applyAlignment="1">
      <alignment horizontal="right"/>
    </xf>
    <xf numFmtId="0" fontId="11" fillId="6" borderId="3" xfId="0" applyFont="1" applyFill="1" applyBorder="1" applyAlignment="1">
      <alignment horizontal="center"/>
    </xf>
    <xf numFmtId="3" fontId="13" fillId="6" borderId="1" xfId="0" applyNumberFormat="1" applyFont="1" applyFill="1" applyBorder="1"/>
    <xf numFmtId="0" fontId="13" fillId="6" borderId="4" xfId="0" applyFont="1" applyFill="1" applyBorder="1" applyAlignment="1">
      <alignment horizontal="right"/>
    </xf>
    <xf numFmtId="0" fontId="11" fillId="6" borderId="4" xfId="0" applyFont="1" applyFill="1" applyBorder="1" applyAlignment="1">
      <alignment horizontal="center"/>
    </xf>
    <xf numFmtId="3" fontId="13" fillId="6" borderId="4" xfId="0" applyNumberFormat="1" applyFont="1" applyFill="1" applyBorder="1"/>
    <xf numFmtId="0" fontId="14" fillId="0" borderId="0" xfId="0" applyFont="1"/>
    <xf numFmtId="4" fontId="1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3" fontId="2" fillId="2" borderId="2" xfId="0" applyNumberFormat="1" applyFon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3" fillId="0" borderId="23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0" fillId="0" borderId="25" xfId="0" applyBorder="1" applyAlignment="1">
      <alignment horizontal="left"/>
    </xf>
    <xf numFmtId="0" fontId="3" fillId="0" borderId="25" xfId="0" applyFont="1" applyBorder="1"/>
    <xf numFmtId="0" fontId="0" fillId="2" borderId="26" xfId="0" applyFill="1" applyBorder="1"/>
    <xf numFmtId="0" fontId="3" fillId="2" borderId="27" xfId="0" applyFont="1" applyFill="1" applyBorder="1"/>
    <xf numFmtId="0" fontId="0" fillId="0" borderId="29" xfId="0" applyBorder="1"/>
    <xf numFmtId="0" fontId="3" fillId="0" borderId="29" xfId="0" applyFont="1" applyBorder="1"/>
    <xf numFmtId="0" fontId="0" fillId="0" borderId="24" xfId="0" applyBorder="1"/>
    <xf numFmtId="0" fontId="16" fillId="0" borderId="0" xfId="0" applyFont="1"/>
    <xf numFmtId="0" fontId="0" fillId="0" borderId="30" xfId="0" applyBorder="1" applyAlignment="1">
      <alignment horizontal="left"/>
    </xf>
    <xf numFmtId="0" fontId="3" fillId="0" borderId="30" xfId="0" applyFont="1" applyBorder="1"/>
    <xf numFmtId="0" fontId="3" fillId="0" borderId="29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0" fillId="0" borderId="31" xfId="0" applyBorder="1" applyAlignment="1">
      <alignment horizontal="left"/>
    </xf>
    <xf numFmtId="0" fontId="3" fillId="0" borderId="31" xfId="0" applyFont="1" applyBorder="1" applyAlignment="1">
      <alignment horizontal="center"/>
    </xf>
    <xf numFmtId="0" fontId="19" fillId="0" borderId="0" xfId="0" applyFont="1"/>
    <xf numFmtId="3" fontId="3" fillId="0" borderId="0" xfId="0" applyNumberFormat="1" applyFont="1" applyAlignment="1">
      <alignment horizontal="left"/>
    </xf>
    <xf numFmtId="0" fontId="3" fillId="0" borderId="23" xfId="0" applyFont="1" applyBorder="1" applyAlignment="1">
      <alignment horizontal="left"/>
    </xf>
    <xf numFmtId="3" fontId="2" fillId="0" borderId="23" xfId="0" applyNumberFormat="1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3" fontId="2" fillId="0" borderId="31" xfId="0" applyNumberFormat="1" applyFont="1" applyBorder="1" applyAlignment="1">
      <alignment horizontal="center"/>
    </xf>
    <xf numFmtId="3" fontId="2" fillId="0" borderId="34" xfId="0" applyNumberFormat="1" applyFont="1" applyBorder="1" applyAlignment="1">
      <alignment horizontal="right"/>
    </xf>
    <xf numFmtId="0" fontId="3" fillId="0" borderId="35" xfId="0" applyFont="1" applyBorder="1" applyAlignment="1">
      <alignment horizontal="left"/>
    </xf>
    <xf numFmtId="3" fontId="2" fillId="0" borderId="35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3" fontId="2" fillId="0" borderId="14" xfId="0" applyNumberFormat="1" applyFont="1" applyBorder="1" applyAlignment="1">
      <alignment horizontal="center"/>
    </xf>
    <xf numFmtId="3" fontId="0" fillId="0" borderId="29" xfId="0" applyNumberFormat="1" applyBorder="1" applyAlignment="1">
      <alignment horizontal="center"/>
    </xf>
    <xf numFmtId="0" fontId="3" fillId="0" borderId="25" xfId="0" applyFon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2" fillId="0" borderId="38" xfId="0" applyNumberFormat="1" applyFon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/>
    <xf numFmtId="3" fontId="20" fillId="0" borderId="0" xfId="1" applyNumberFormat="1" applyFont="1" applyFill="1" applyBorder="1" applyAlignment="1">
      <alignment horizontal="center"/>
    </xf>
    <xf numFmtId="3" fontId="16" fillId="0" borderId="0" xfId="1" applyNumberFormat="1" applyFont="1" applyFill="1" applyBorder="1" applyAlignment="1">
      <alignment horizontal="center"/>
    </xf>
    <xf numFmtId="0" fontId="0" fillId="0" borderId="39" xfId="0" applyBorder="1"/>
    <xf numFmtId="0" fontId="3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/>
    <xf numFmtId="0" fontId="0" fillId="0" borderId="40" xfId="0" applyBorder="1" applyAlignment="1">
      <alignment horizontal="center"/>
    </xf>
    <xf numFmtId="0" fontId="0" fillId="0" borderId="41" xfId="0" applyBorder="1"/>
    <xf numFmtId="0" fontId="3" fillId="0" borderId="41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2" xfId="0" applyBorder="1" applyAlignment="1">
      <alignment horizontal="center"/>
    </xf>
    <xf numFmtId="0" fontId="3" fillId="0" borderId="41" xfId="0" applyFont="1" applyBorder="1"/>
    <xf numFmtId="0" fontId="3" fillId="0" borderId="42" xfId="0" applyFont="1" applyBorder="1"/>
    <xf numFmtId="0" fontId="3" fillId="0" borderId="40" xfId="0" applyFont="1" applyBorder="1"/>
    <xf numFmtId="3" fontId="22" fillId="0" borderId="23" xfId="0" applyNumberFormat="1" applyFont="1" applyBorder="1"/>
    <xf numFmtId="3" fontId="22" fillId="0" borderId="24" xfId="0" applyNumberFormat="1" applyFont="1" applyBorder="1"/>
    <xf numFmtId="0" fontId="22" fillId="0" borderId="24" xfId="0" applyFont="1" applyBorder="1" applyAlignment="1">
      <alignment horizontal="center"/>
    </xf>
    <xf numFmtId="3" fontId="22" fillId="0" borderId="24" xfId="0" applyNumberFormat="1" applyFont="1" applyBorder="1" applyAlignment="1">
      <alignment horizontal="right"/>
    </xf>
    <xf numFmtId="0" fontId="22" fillId="2" borderId="27" xfId="0" applyFont="1" applyFill="1" applyBorder="1"/>
    <xf numFmtId="3" fontId="22" fillId="2" borderId="27" xfId="0" applyNumberFormat="1" applyFont="1" applyFill="1" applyBorder="1"/>
    <xf numFmtId="0" fontId="22" fillId="2" borderId="28" xfId="0" applyFont="1" applyFill="1" applyBorder="1"/>
    <xf numFmtId="3" fontId="22" fillId="0" borderId="29" xfId="0" applyNumberFormat="1" applyFont="1" applyBorder="1"/>
    <xf numFmtId="3" fontId="22" fillId="0" borderId="30" xfId="0" applyNumberFormat="1" applyFont="1" applyBorder="1"/>
    <xf numFmtId="0" fontId="10" fillId="0" borderId="0" xfId="0" applyFont="1"/>
    <xf numFmtId="0" fontId="22" fillId="0" borderId="0" xfId="0" applyFont="1"/>
    <xf numFmtId="0" fontId="22" fillId="0" borderId="0" xfId="0" applyFont="1" applyAlignment="1">
      <alignment horizontal="left" indent="1"/>
    </xf>
    <xf numFmtId="3" fontId="22" fillId="0" borderId="31" xfId="0" applyNumberFormat="1" applyFont="1" applyBorder="1"/>
    <xf numFmtId="0" fontId="23" fillId="0" borderId="0" xfId="0" applyFont="1"/>
    <xf numFmtId="3" fontId="23" fillId="0" borderId="0" xfId="0" applyNumberFormat="1" applyFont="1"/>
    <xf numFmtId="0" fontId="23" fillId="0" borderId="0" xfId="0" applyFont="1" applyAlignment="1">
      <alignment horizontal="left"/>
    </xf>
    <xf numFmtId="3" fontId="14" fillId="0" borderId="35" xfId="0" applyNumberFormat="1" applyFont="1" applyBorder="1"/>
    <xf numFmtId="0" fontId="14" fillId="0" borderId="0" xfId="0" applyFont="1" applyAlignment="1">
      <alignment horizontal="left"/>
    </xf>
    <xf numFmtId="0" fontId="22" fillId="0" borderId="23" xfId="0" applyFont="1" applyBorder="1" applyAlignment="1">
      <alignment horizontal="left"/>
    </xf>
    <xf numFmtId="0" fontId="22" fillId="0" borderId="24" xfId="0" applyFont="1" applyBorder="1" applyAlignment="1">
      <alignment horizontal="left"/>
    </xf>
    <xf numFmtId="0" fontId="22" fillId="0" borderId="25" xfId="0" applyFont="1" applyBorder="1" applyAlignment="1">
      <alignment horizontal="left"/>
    </xf>
    <xf numFmtId="0" fontId="22" fillId="0" borderId="31" xfId="0" applyFont="1" applyBorder="1" applyAlignment="1">
      <alignment horizontal="left"/>
    </xf>
    <xf numFmtId="3" fontId="14" fillId="0" borderId="32" xfId="0" applyNumberFormat="1" applyFont="1" applyBorder="1"/>
    <xf numFmtId="3" fontId="14" fillId="0" borderId="33" xfId="0" applyNumberFormat="1" applyFont="1" applyBorder="1"/>
    <xf numFmtId="3" fontId="14" fillId="0" borderId="15" xfId="0" applyNumberFormat="1" applyFont="1" applyBorder="1"/>
    <xf numFmtId="3" fontId="22" fillId="0" borderId="36" xfId="0" applyNumberFormat="1" applyFont="1" applyBorder="1"/>
    <xf numFmtId="3" fontId="22" fillId="0" borderId="37" xfId="0" applyNumberFormat="1" applyFont="1" applyBorder="1"/>
    <xf numFmtId="3" fontId="14" fillId="0" borderId="26" xfId="0" applyNumberFormat="1" applyFont="1" applyBorder="1"/>
    <xf numFmtId="3" fontId="14" fillId="0" borderId="34" xfId="0" applyNumberFormat="1" applyFont="1" applyBorder="1" applyAlignment="1">
      <alignment horizontal="right"/>
    </xf>
    <xf numFmtId="3" fontId="14" fillId="0" borderId="14" xfId="0" applyNumberFormat="1" applyFont="1" applyBorder="1"/>
    <xf numFmtId="3" fontId="22" fillId="0" borderId="25" xfId="0" applyNumberFormat="1" applyFont="1" applyBorder="1"/>
    <xf numFmtId="3" fontId="14" fillId="0" borderId="38" xfId="0" applyNumberFormat="1" applyFont="1" applyBorder="1"/>
    <xf numFmtId="0" fontId="23" fillId="0" borderId="29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38" xfId="0" applyFont="1" applyBorder="1" applyAlignment="1">
      <alignment horizontal="left"/>
    </xf>
    <xf numFmtId="0" fontId="23" fillId="0" borderId="24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9" fontId="22" fillId="0" borderId="23" xfId="1" applyFont="1" applyFill="1" applyBorder="1" applyAlignment="1">
      <alignment horizontal="center"/>
    </xf>
    <xf numFmtId="9" fontId="22" fillId="0" borderId="24" xfId="1" applyFont="1" applyFill="1" applyBorder="1" applyAlignment="1">
      <alignment horizontal="center"/>
    </xf>
    <xf numFmtId="9" fontId="22" fillId="0" borderId="25" xfId="1" applyFont="1" applyFill="1" applyBorder="1" applyAlignment="1">
      <alignment horizontal="center"/>
    </xf>
    <xf numFmtId="9" fontId="22" fillId="0" borderId="3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3" fontId="13" fillId="0" borderId="1" xfId="0" applyNumberFormat="1" applyFont="1" applyBorder="1"/>
    <xf numFmtId="3" fontId="11" fillId="6" borderId="3" xfId="0" applyNumberFormat="1" applyFont="1" applyFill="1" applyBorder="1"/>
    <xf numFmtId="3" fontId="13" fillId="0" borderId="5" xfId="0" applyNumberFormat="1" applyFont="1" applyBorder="1"/>
    <xf numFmtId="3" fontId="13" fillId="0" borderId="3" xfId="0" applyNumberFormat="1" applyFont="1" applyBorder="1"/>
    <xf numFmtId="3" fontId="13" fillId="0" borderId="6" xfId="0" applyNumberFormat="1" applyFont="1" applyBorder="1"/>
    <xf numFmtId="3" fontId="22" fillId="0" borderId="24" xfId="0" quotePrefix="1" applyNumberFormat="1" applyFont="1" applyBorder="1" applyAlignment="1">
      <alignment horizontal="center"/>
    </xf>
    <xf numFmtId="3" fontId="22" fillId="0" borderId="30" xfId="0" quotePrefix="1" applyNumberFormat="1" applyFont="1" applyBorder="1" applyAlignment="1">
      <alignment horizontal="center"/>
    </xf>
    <xf numFmtId="0" fontId="10" fillId="0" borderId="24" xfId="0" applyFont="1" applyBorder="1" applyAlignment="1">
      <alignment horizontal="left"/>
    </xf>
    <xf numFmtId="3" fontId="10" fillId="0" borderId="24" xfId="0" applyNumberFormat="1" applyFont="1" applyBorder="1"/>
    <xf numFmtId="0" fontId="10" fillId="0" borderId="31" xfId="0" applyFont="1" applyBorder="1" applyAlignment="1">
      <alignment horizontal="left"/>
    </xf>
    <xf numFmtId="3" fontId="10" fillId="0" borderId="31" xfId="0" applyNumberFormat="1" applyFont="1" applyBorder="1"/>
    <xf numFmtId="0" fontId="22" fillId="0" borderId="23" xfId="0" applyFont="1" applyBorder="1" applyAlignment="1">
      <alignment horizontal="center"/>
    </xf>
    <xf numFmtId="3" fontId="22" fillId="0" borderId="31" xfId="0" applyNumberFormat="1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3" fontId="25" fillId="0" borderId="0" xfId="0" applyNumberFormat="1" applyFont="1"/>
    <xf numFmtId="3" fontId="10" fillId="0" borderId="0" xfId="0" applyNumberFormat="1" applyFont="1"/>
    <xf numFmtId="3" fontId="23" fillId="0" borderId="0" xfId="0" applyNumberFormat="1" applyFont="1" applyAlignment="1">
      <alignment horizontal="left"/>
    </xf>
    <xf numFmtId="3" fontId="10" fillId="2" borderId="38" xfId="0" applyNumberFormat="1" applyFont="1" applyFill="1" applyBorder="1"/>
    <xf numFmtId="1" fontId="25" fillId="2" borderId="38" xfId="0" applyNumberFormat="1" applyFont="1" applyFill="1" applyBorder="1" applyAlignment="1">
      <alignment horizontal="center"/>
    </xf>
    <xf numFmtId="3" fontId="25" fillId="2" borderId="38" xfId="0" applyNumberFormat="1" applyFont="1" applyFill="1" applyBorder="1" applyAlignment="1">
      <alignment horizontal="center"/>
    </xf>
    <xf numFmtId="3" fontId="25" fillId="0" borderId="29" xfId="0" applyNumberFormat="1" applyFont="1" applyBorder="1"/>
    <xf numFmtId="3" fontId="10" fillId="0" borderId="29" xfId="0" applyNumberFormat="1" applyFont="1" applyBorder="1"/>
    <xf numFmtId="3" fontId="25" fillId="0" borderId="25" xfId="0" applyNumberFormat="1" applyFont="1" applyBorder="1"/>
    <xf numFmtId="3" fontId="10" fillId="0" borderId="25" xfId="0" applyNumberFormat="1" applyFont="1" applyBorder="1"/>
    <xf numFmtId="3" fontId="25" fillId="0" borderId="38" xfId="0" applyNumberFormat="1" applyFont="1" applyBorder="1"/>
    <xf numFmtId="4" fontId="10" fillId="0" borderId="0" xfId="0" applyNumberFormat="1" applyFont="1" applyAlignment="1">
      <alignment horizontal="right"/>
    </xf>
    <xf numFmtId="10" fontId="22" fillId="0" borderId="39" xfId="1" applyNumberFormat="1" applyFont="1" applyBorder="1" applyAlignment="1">
      <alignment horizontal="center"/>
    </xf>
    <xf numFmtId="10" fontId="22" fillId="0" borderId="41" xfId="1" applyNumberFormat="1" applyFont="1" applyBorder="1" applyAlignment="1">
      <alignment horizontal="center"/>
    </xf>
    <xf numFmtId="10" fontId="22" fillId="0" borderId="42" xfId="1" applyNumberFormat="1" applyFont="1" applyBorder="1" applyAlignment="1">
      <alignment horizontal="center"/>
    </xf>
    <xf numFmtId="10" fontId="22" fillId="0" borderId="40" xfId="1" applyNumberFormat="1" applyFont="1" applyBorder="1" applyAlignment="1">
      <alignment horizontal="center"/>
    </xf>
    <xf numFmtId="3" fontId="11" fillId="0" borderId="0" xfId="0" applyNumberFormat="1" applyFont="1"/>
    <xf numFmtId="0" fontId="10" fillId="0" borderId="0" xfId="0" applyFont="1" applyAlignment="1">
      <alignment horizontal="left" indent="1"/>
    </xf>
    <xf numFmtId="0" fontId="3" fillId="0" borderId="40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5" fontId="0" fillId="0" borderId="39" xfId="1" applyNumberFormat="1" applyFont="1" applyBorder="1"/>
    <xf numFmtId="165" fontId="0" fillId="0" borderId="41" xfId="1" applyNumberFormat="1" applyFont="1" applyBorder="1"/>
    <xf numFmtId="166" fontId="0" fillId="0" borderId="41" xfId="0" applyNumberFormat="1" applyBorder="1"/>
    <xf numFmtId="165" fontId="0" fillId="0" borderId="41" xfId="0" applyNumberFormat="1" applyBorder="1"/>
    <xf numFmtId="165" fontId="0" fillId="0" borderId="42" xfId="0" applyNumberFormat="1" applyBorder="1"/>
    <xf numFmtId="0" fontId="26" fillId="0" borderId="0" xfId="0" applyFont="1"/>
    <xf numFmtId="3" fontId="22" fillId="8" borderId="24" xfId="0" applyNumberFormat="1" applyFont="1" applyFill="1" applyBorder="1"/>
    <xf numFmtId="0" fontId="29" fillId="0" borderId="0" xfId="0" applyFont="1"/>
    <xf numFmtId="0" fontId="9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4" fontId="29" fillId="0" borderId="0" xfId="0" applyNumberFormat="1" applyFont="1"/>
    <xf numFmtId="3" fontId="29" fillId="0" borderId="0" xfId="0" applyNumberFormat="1" applyFont="1"/>
    <xf numFmtId="4" fontId="16" fillId="0" borderId="0" xfId="0" applyNumberFormat="1" applyFont="1" applyAlignment="1">
      <alignment horizontal="right"/>
    </xf>
    <xf numFmtId="0" fontId="29" fillId="2" borderId="2" xfId="0" applyFont="1" applyFill="1" applyBorder="1" applyAlignment="1">
      <alignment horizontal="center" vertical="center"/>
    </xf>
    <xf numFmtId="1" fontId="29" fillId="2" borderId="2" xfId="0" applyNumberFormat="1" applyFont="1" applyFill="1" applyBorder="1" applyAlignment="1">
      <alignment horizontal="center"/>
    </xf>
    <xf numFmtId="3" fontId="29" fillId="2" borderId="2" xfId="0" applyNumberFormat="1" applyFont="1" applyFill="1" applyBorder="1" applyAlignment="1">
      <alignment horizontal="center"/>
    </xf>
    <xf numFmtId="0" fontId="16" fillId="0" borderId="39" xfId="0" applyFont="1" applyBorder="1"/>
    <xf numFmtId="0" fontId="6" fillId="0" borderId="39" xfId="0" applyFont="1" applyBorder="1" applyAlignment="1">
      <alignment horizontal="center"/>
    </xf>
    <xf numFmtId="0" fontId="16" fillId="0" borderId="40" xfId="0" applyFont="1" applyBorder="1"/>
    <xf numFmtId="0" fontId="6" fillId="0" borderId="40" xfId="0" applyFont="1" applyBorder="1" applyAlignment="1">
      <alignment horizontal="center"/>
    </xf>
    <xf numFmtId="0" fontId="16" fillId="0" borderId="41" xfId="0" applyFont="1" applyBorder="1"/>
    <xf numFmtId="0" fontId="6" fillId="0" borderId="41" xfId="0" applyFont="1" applyBorder="1" applyAlignment="1">
      <alignment horizontal="center"/>
    </xf>
    <xf numFmtId="0" fontId="16" fillId="0" borderId="42" xfId="0" applyFont="1" applyBorder="1"/>
    <xf numFmtId="0" fontId="6" fillId="0" borderId="42" xfId="0" applyFont="1" applyBorder="1" applyAlignment="1">
      <alignment horizontal="center"/>
    </xf>
    <xf numFmtId="0" fontId="16" fillId="0" borderId="43" xfId="0" applyFont="1" applyBorder="1" applyAlignment="1">
      <alignment horizontal="left"/>
    </xf>
    <xf numFmtId="0" fontId="22" fillId="0" borderId="39" xfId="0" applyFont="1" applyBorder="1" applyAlignment="1">
      <alignment horizontal="center"/>
    </xf>
    <xf numFmtId="2" fontId="22" fillId="0" borderId="39" xfId="0" applyNumberFormat="1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2" fontId="22" fillId="0" borderId="40" xfId="0" applyNumberFormat="1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2" fontId="22" fillId="0" borderId="41" xfId="0" applyNumberFormat="1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2" fontId="22" fillId="0" borderId="42" xfId="0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2" fontId="22" fillId="0" borderId="39" xfId="0" applyNumberFormat="1" applyFont="1" applyBorder="1"/>
    <xf numFmtId="0" fontId="22" fillId="0" borderId="39" xfId="0" applyFont="1" applyBorder="1"/>
    <xf numFmtId="0" fontId="22" fillId="0" borderId="40" xfId="0" applyFont="1" applyBorder="1"/>
    <xf numFmtId="0" fontId="22" fillId="0" borderId="41" xfId="0" applyFont="1" applyBorder="1"/>
    <xf numFmtId="0" fontId="22" fillId="0" borderId="42" xfId="0" applyFont="1" applyBorder="1"/>
    <xf numFmtId="0" fontId="11" fillId="7" borderId="0" xfId="0" applyFont="1" applyFill="1" applyAlignment="1">
      <alignment horizontal="center"/>
    </xf>
    <xf numFmtId="0" fontId="6" fillId="0" borderId="0" xfId="0" applyFont="1" applyAlignment="1">
      <alignment horizontal="left" wrapText="1"/>
    </xf>
    <xf numFmtId="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4" fontId="13" fillId="7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" fontId="4" fillId="2" borderId="10" xfId="0" applyNumberFormat="1" applyFont="1" applyFill="1" applyBorder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" fontId="29" fillId="2" borderId="10" xfId="0" applyNumberFormat="1" applyFont="1" applyFill="1" applyBorder="1" applyAlignment="1">
      <alignment horizontal="center"/>
    </xf>
    <xf numFmtId="4" fontId="29" fillId="2" borderId="13" xfId="0" applyNumberFormat="1" applyFont="1" applyFill="1" applyBorder="1" applyAlignment="1">
      <alignment horizontal="center"/>
    </xf>
    <xf numFmtId="4" fontId="29" fillId="2" borderId="9" xfId="0" applyNumberFormat="1" applyFont="1" applyFill="1" applyBorder="1" applyAlignment="1">
      <alignment horizontal="center"/>
    </xf>
    <xf numFmtId="0" fontId="23" fillId="0" borderId="0" xfId="0" applyFont="1" applyAlignment="1">
      <alignment horizontal="justify" wrapText="1"/>
    </xf>
    <xf numFmtId="0" fontId="3" fillId="0" borderId="0" xfId="0" applyFont="1" applyAlignment="1">
      <alignment horizontal="left"/>
    </xf>
    <xf numFmtId="4" fontId="2" fillId="2" borderId="10" xfId="0" applyNumberFormat="1" applyFont="1" applyFill="1" applyBorder="1" applyAlignment="1">
      <alignment horizontal="center"/>
    </xf>
    <xf numFmtId="4" fontId="2" fillId="2" borderId="13" xfId="0" applyNumberFormat="1" applyFont="1" applyFill="1" applyBorder="1" applyAlignment="1">
      <alignment horizontal="center"/>
    </xf>
    <xf numFmtId="4" fontId="2" fillId="2" borderId="9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justify" wrapText="1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justify" vertical="center" wrapText="1"/>
    </xf>
    <xf numFmtId="4" fontId="4" fillId="2" borderId="10" xfId="0" applyNumberFormat="1" applyFont="1" applyFill="1" applyBorder="1" applyAlignment="1">
      <alignment horizontal="center"/>
    </xf>
    <xf numFmtId="4" fontId="4" fillId="2" borderId="13" xfId="0" applyNumberFormat="1" applyFont="1" applyFill="1" applyBorder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1" fontId="4" fillId="2" borderId="21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/>
    </xf>
    <xf numFmtId="1" fontId="2" fillId="2" borderId="13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</cellXfs>
  <cellStyles count="4">
    <cellStyle name="Hiperligação" xfId="2" builtinId="8"/>
    <cellStyle name="Normal" xfId="0" builtinId="0"/>
    <cellStyle name="Normal 2" xfId="3" xr:uid="{F54C0988-21FC-461B-AD22-497FF53ACE79}"/>
    <cellStyle name="Percentagem" xfId="1" builtinId="5"/>
  </cellStyles>
  <dxfs count="0"/>
  <tableStyles count="0" defaultTableStyle="TableStyleMedium2" defaultPivotStyle="PivotStyleLight16"/>
  <colors>
    <mruColors>
      <color rgb="FFF5F5F5"/>
      <color rgb="FFDEE3EA"/>
      <color rgb="FFF7E1FF"/>
      <color rgb="FFF0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2028825</xdr:colOff>
      <xdr:row>123</xdr:row>
      <xdr:rowOff>209550</xdr:rowOff>
    </xdr:from>
    <xdr:to>
      <xdr:col>7</xdr:col>
      <xdr:colOff>2028825</xdr:colOff>
      <xdr:row>124</xdr:row>
      <xdr:rowOff>209550</xdr:rowOff>
    </xdr:to>
    <xdr:cxnSp macro="">
      <xdr:nvCxnSpPr>
        <xdr:cNvPr id="2" name="Conexão reta 2">
          <a:extLst>
            <a:ext uri="{FF2B5EF4-FFF2-40B4-BE49-F238E27FC236}">
              <a16:creationId xmlns:a16="http://schemas.microsoft.com/office/drawing/2014/main" id="{2B70A892-F266-4EA0-8A49-DE7C26DC0281}"/>
            </a:ext>
          </a:extLst>
        </xdr:cNvPr>
        <xdr:cNvCxnSpPr/>
      </xdr:nvCxnSpPr>
      <xdr:spPr>
        <a:xfrm>
          <a:off x="9755505" y="26224230"/>
          <a:ext cx="0" cy="21336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3"/>
  <sheetViews>
    <sheetView tabSelected="1" topLeftCell="A28" zoomScaleNormal="100" workbookViewId="0">
      <selection activeCell="D35" sqref="D35"/>
    </sheetView>
  </sheetViews>
  <sheetFormatPr defaultColWidth="9.140625" defaultRowHeight="15" customHeight="1"/>
  <cols>
    <col min="1" max="1" width="8.140625" style="1" customWidth="1"/>
    <col min="2" max="2" width="39" style="1" customWidth="1"/>
    <col min="3" max="3" width="6.42578125" style="66" customWidth="1"/>
    <col min="4" max="6" width="14.5703125" style="2" bestFit="1" customWidth="1"/>
    <col min="7" max="7" width="9.85546875" style="88" bestFit="1" customWidth="1"/>
    <col min="8" max="8" width="38.5703125" style="1" customWidth="1"/>
    <col min="9" max="9" width="6.28515625" style="1" customWidth="1"/>
    <col min="10" max="12" width="15.7109375" style="1" customWidth="1"/>
    <col min="13" max="16384" width="9.140625" style="1"/>
  </cols>
  <sheetData>
    <row r="1" spans="1:7" ht="15" customHeight="1">
      <c r="A1" s="3" t="s">
        <v>0</v>
      </c>
      <c r="B1" s="3" t="s">
        <v>1</v>
      </c>
    </row>
    <row r="2" spans="1:7" ht="15" customHeight="1">
      <c r="B2" s="3" t="s">
        <v>2</v>
      </c>
      <c r="C2" s="1"/>
      <c r="G2" s="12"/>
    </row>
    <row r="3" spans="1:7" ht="15" customHeight="1">
      <c r="C3" s="1"/>
      <c r="G3" s="1"/>
    </row>
    <row r="4" spans="1:7" ht="15" customHeight="1">
      <c r="B4" s="3" t="s">
        <v>3</v>
      </c>
      <c r="C4" s="67"/>
      <c r="D4" s="4"/>
      <c r="E4" s="4"/>
      <c r="F4" s="13" t="s">
        <v>4</v>
      </c>
    </row>
    <row r="5" spans="1:7" ht="15" customHeight="1">
      <c r="B5" s="310" t="s">
        <v>5</v>
      </c>
      <c r="C5" s="310" t="s">
        <v>6</v>
      </c>
      <c r="D5" s="309" t="s">
        <v>7</v>
      </c>
      <c r="E5" s="309"/>
      <c r="F5" s="309"/>
    </row>
    <row r="6" spans="1:7" ht="15" customHeight="1">
      <c r="B6" s="310"/>
      <c r="C6" s="310"/>
      <c r="D6" s="9">
        <v>2022</v>
      </c>
      <c r="E6" s="9">
        <v>2023</v>
      </c>
      <c r="F6" s="9">
        <v>2024</v>
      </c>
    </row>
    <row r="7" spans="1:7" ht="15" customHeight="1">
      <c r="B7" s="5" t="s">
        <v>8</v>
      </c>
      <c r="C7" s="65"/>
      <c r="D7" s="7"/>
      <c r="E7" s="7"/>
      <c r="F7" s="7"/>
    </row>
    <row r="8" spans="1:7" ht="15" customHeight="1">
      <c r="B8" s="5" t="s">
        <v>9</v>
      </c>
      <c r="C8" s="65"/>
      <c r="D8" s="7"/>
      <c r="E8" s="7"/>
      <c r="F8" s="7"/>
    </row>
    <row r="9" spans="1:7" ht="15" customHeight="1">
      <c r="B9" s="6" t="s">
        <v>10</v>
      </c>
      <c r="C9" s="65">
        <v>5</v>
      </c>
      <c r="D9" s="14">
        <v>19459800</v>
      </c>
      <c r="E9" s="14">
        <v>18666571.5</v>
      </c>
      <c r="F9" s="14">
        <v>20729865.5</v>
      </c>
    </row>
    <row r="10" spans="1:7" ht="15" customHeight="1">
      <c r="B10" s="6" t="s">
        <v>11</v>
      </c>
      <c r="C10" s="65">
        <v>6</v>
      </c>
      <c r="D10" s="14">
        <v>78216</v>
      </c>
      <c r="E10" s="14">
        <v>76393</v>
      </c>
      <c r="F10" s="14">
        <v>74571</v>
      </c>
    </row>
    <row r="11" spans="1:7" ht="15" customHeight="1">
      <c r="B11" s="6" t="s">
        <v>12</v>
      </c>
      <c r="C11" s="65">
        <v>7</v>
      </c>
      <c r="D11" s="14">
        <v>278210</v>
      </c>
      <c r="E11" s="14">
        <v>261041</v>
      </c>
      <c r="F11" s="14">
        <v>242369</v>
      </c>
    </row>
    <row r="12" spans="1:7" ht="15" customHeight="1">
      <c r="B12" s="6" t="s">
        <v>13</v>
      </c>
      <c r="C12" s="65">
        <v>8</v>
      </c>
      <c r="D12" s="14">
        <v>160000</v>
      </c>
      <c r="E12" s="14">
        <v>166000</v>
      </c>
      <c r="F12" s="14">
        <v>166000</v>
      </c>
    </row>
    <row r="13" spans="1:7" ht="15" customHeight="1">
      <c r="B13" s="6" t="s">
        <v>14</v>
      </c>
      <c r="C13" s="65"/>
      <c r="D13" s="14">
        <v>2392</v>
      </c>
      <c r="E13" s="14">
        <v>2944</v>
      </c>
      <c r="F13" s="14">
        <v>2887</v>
      </c>
    </row>
    <row r="14" spans="1:7" ht="15" customHeight="1">
      <c r="B14" s="6" t="s">
        <v>15</v>
      </c>
      <c r="C14" s="65">
        <v>9</v>
      </c>
      <c r="D14" s="14">
        <v>3543112</v>
      </c>
      <c r="E14" s="14">
        <v>2870650</v>
      </c>
      <c r="F14" s="14">
        <v>3308871</v>
      </c>
    </row>
    <row r="15" spans="1:7" ht="15" customHeight="1">
      <c r="B15" s="6"/>
      <c r="C15" s="65"/>
      <c r="D15" s="15">
        <f>SUM(D9:D14)</f>
        <v>23521730</v>
      </c>
      <c r="E15" s="15">
        <f t="shared" ref="E15:F15" si="0">SUM(E9:E14)</f>
        <v>22043599.5</v>
      </c>
      <c r="F15" s="15">
        <f t="shared" si="0"/>
        <v>24524563.5</v>
      </c>
    </row>
    <row r="16" spans="1:7" ht="15" customHeight="1">
      <c r="B16" s="5" t="s">
        <v>16</v>
      </c>
      <c r="C16" s="65"/>
      <c r="D16" s="14"/>
      <c r="E16" s="14"/>
      <c r="F16" s="14"/>
    </row>
    <row r="17" spans="2:7" ht="15" customHeight="1">
      <c r="B17" s="6" t="s">
        <v>17</v>
      </c>
      <c r="C17" s="65">
        <v>10</v>
      </c>
      <c r="D17" s="14">
        <v>2476629</v>
      </c>
      <c r="E17" s="14">
        <v>2368546</v>
      </c>
      <c r="F17" s="14">
        <v>2667287</v>
      </c>
    </row>
    <row r="18" spans="2:7" ht="15" customHeight="1">
      <c r="B18" s="6" t="s">
        <v>18</v>
      </c>
      <c r="C18" s="65">
        <v>11</v>
      </c>
      <c r="D18" s="14">
        <v>10993343</v>
      </c>
      <c r="E18" s="14">
        <v>13433627.5</v>
      </c>
      <c r="F18" s="14">
        <v>15033498.5</v>
      </c>
      <c r="G18" s="91"/>
    </row>
    <row r="19" spans="2:7" ht="15" customHeight="1">
      <c r="B19" s="6" t="s">
        <v>19</v>
      </c>
      <c r="C19" s="65">
        <v>12</v>
      </c>
      <c r="D19" s="14">
        <v>299077</v>
      </c>
      <c r="E19" s="14">
        <v>254510</v>
      </c>
      <c r="F19" s="14">
        <v>764059</v>
      </c>
    </row>
    <row r="20" spans="2:7" ht="15" customHeight="1">
      <c r="B20" s="6" t="s">
        <v>20</v>
      </c>
      <c r="C20" s="65">
        <v>13</v>
      </c>
      <c r="D20" s="14">
        <v>4152529</v>
      </c>
      <c r="E20" s="14">
        <v>5511417</v>
      </c>
      <c r="F20" s="14">
        <v>7076559</v>
      </c>
    </row>
    <row r="21" spans="2:7" ht="15" customHeight="1">
      <c r="B21" s="6" t="s">
        <v>21</v>
      </c>
      <c r="C21" s="65">
        <v>14</v>
      </c>
      <c r="D21" s="14">
        <v>175917</v>
      </c>
      <c r="E21" s="14">
        <v>187514</v>
      </c>
      <c r="F21" s="14">
        <v>206335</v>
      </c>
      <c r="G21" s="118" t="s">
        <v>22</v>
      </c>
    </row>
    <row r="22" spans="2:7" ht="15" customHeight="1">
      <c r="B22" s="6" t="s">
        <v>23</v>
      </c>
      <c r="C22" s="65">
        <v>4</v>
      </c>
      <c r="D22" s="14">
        <v>2257927</v>
      </c>
      <c r="E22" s="14">
        <v>4138413</v>
      </c>
      <c r="F22" s="14">
        <v>1799870</v>
      </c>
    </row>
    <row r="23" spans="2:7" ht="15" customHeight="1">
      <c r="B23" s="6"/>
      <c r="C23" s="65"/>
      <c r="D23" s="15">
        <f>SUM(D17:D22)</f>
        <v>20355422</v>
      </c>
      <c r="E23" s="15">
        <f>SUM(E17:E22)</f>
        <v>25894027.5</v>
      </c>
      <c r="F23" s="15">
        <f>SUM(F17:F22)</f>
        <v>27547608.5</v>
      </c>
    </row>
    <row r="24" spans="2:7" ht="15" customHeight="1" thickBot="1">
      <c r="B24" s="10" t="s">
        <v>24</v>
      </c>
      <c r="C24" s="77"/>
      <c r="D24" s="16">
        <f>D15+D23</f>
        <v>43877152</v>
      </c>
      <c r="E24" s="90">
        <f>E15+E23</f>
        <v>47937627</v>
      </c>
      <c r="F24" s="90">
        <f>F15+F23</f>
        <v>52072172</v>
      </c>
    </row>
    <row r="25" spans="2:7" ht="15" customHeight="1" thickTop="1">
      <c r="B25" s="5" t="s">
        <v>25</v>
      </c>
      <c r="C25" s="65"/>
      <c r="D25" s="14"/>
      <c r="E25" s="14"/>
      <c r="F25" s="14"/>
    </row>
    <row r="26" spans="2:7" ht="15" customHeight="1">
      <c r="B26" s="5" t="s">
        <v>26</v>
      </c>
      <c r="C26" s="65"/>
      <c r="D26" s="14"/>
      <c r="E26" s="14"/>
      <c r="F26" s="14"/>
    </row>
    <row r="27" spans="2:7" ht="15" customHeight="1">
      <c r="B27" s="6" t="s">
        <v>27</v>
      </c>
      <c r="C27" s="65">
        <v>15</v>
      </c>
      <c r="D27" s="14">
        <v>11740455</v>
      </c>
      <c r="E27" s="14">
        <v>11740455</v>
      </c>
      <c r="F27" s="14">
        <v>11740455</v>
      </c>
    </row>
    <row r="28" spans="2:7" ht="15" customHeight="1">
      <c r="B28" s="6" t="s">
        <v>28</v>
      </c>
      <c r="C28" s="65">
        <v>17</v>
      </c>
      <c r="D28" s="14">
        <v>959545</v>
      </c>
      <c r="E28" s="14">
        <v>959545</v>
      </c>
      <c r="F28" s="14">
        <v>959545</v>
      </c>
    </row>
    <row r="29" spans="2:7" ht="15" customHeight="1">
      <c r="B29" s="6" t="s">
        <v>29</v>
      </c>
      <c r="C29" s="65">
        <v>18</v>
      </c>
      <c r="D29" s="14">
        <v>658278</v>
      </c>
      <c r="E29" s="14">
        <v>773685</v>
      </c>
      <c r="F29" s="14">
        <v>891080</v>
      </c>
    </row>
    <row r="30" spans="2:7" ht="15" customHeight="1">
      <c r="B30" s="6" t="s">
        <v>30</v>
      </c>
      <c r="C30" s="65">
        <v>16</v>
      </c>
      <c r="D30" s="14">
        <v>4710221</v>
      </c>
      <c r="E30" s="14">
        <v>4710221</v>
      </c>
      <c r="F30" s="14">
        <v>4710221</v>
      </c>
    </row>
    <row r="31" spans="2:7" ht="15" customHeight="1">
      <c r="B31" s="6" t="s">
        <v>31</v>
      </c>
      <c r="C31" s="65">
        <v>19</v>
      </c>
      <c r="D31" s="14">
        <v>-2266539</v>
      </c>
      <c r="E31" s="14">
        <v>-73815</v>
      </c>
      <c r="F31" s="14">
        <v>2156686</v>
      </c>
    </row>
    <row r="32" spans="2:7" ht="15" customHeight="1">
      <c r="B32" s="6" t="s">
        <v>32</v>
      </c>
      <c r="C32" s="65">
        <v>20</v>
      </c>
      <c r="D32" s="14">
        <v>2482464</v>
      </c>
      <c r="E32" s="14">
        <v>1982771</v>
      </c>
      <c r="F32" s="14">
        <v>1622563</v>
      </c>
    </row>
    <row r="33" spans="2:7" ht="15" customHeight="1">
      <c r="B33" s="6" t="s">
        <v>33</v>
      </c>
      <c r="C33" s="65"/>
      <c r="D33" s="14">
        <v>2308131</v>
      </c>
      <c r="E33" s="14">
        <v>2347896</v>
      </c>
      <c r="F33" s="14">
        <v>2279250</v>
      </c>
    </row>
    <row r="34" spans="2:7" ht="15" customHeight="1">
      <c r="B34" s="8" t="s">
        <v>34</v>
      </c>
      <c r="C34" s="65"/>
      <c r="D34" s="15">
        <f>SUM(D27:D33)</f>
        <v>20592555</v>
      </c>
      <c r="E34" s="15">
        <f t="shared" ref="E34:F34" si="1">SUM(E27:E33)</f>
        <v>22440758</v>
      </c>
      <c r="F34" s="15">
        <f t="shared" si="1"/>
        <v>24359800</v>
      </c>
    </row>
    <row r="35" spans="2:7" ht="15" customHeight="1">
      <c r="B35" s="8"/>
      <c r="C35" s="65"/>
      <c r="D35" s="27"/>
      <c r="E35" s="27"/>
      <c r="F35" s="27"/>
    </row>
    <row r="36" spans="2:7" ht="15" customHeight="1">
      <c r="B36" s="5" t="s">
        <v>35</v>
      </c>
      <c r="C36" s="65"/>
      <c r="D36" s="14"/>
      <c r="E36" s="14"/>
      <c r="F36" s="14"/>
    </row>
    <row r="37" spans="2:7" ht="15" customHeight="1">
      <c r="B37" s="5" t="s">
        <v>36</v>
      </c>
      <c r="C37" s="65"/>
      <c r="D37" s="14"/>
      <c r="E37" s="14"/>
      <c r="F37" s="14"/>
    </row>
    <row r="38" spans="2:7" ht="15" customHeight="1">
      <c r="B38" s="6" t="s">
        <v>37</v>
      </c>
      <c r="C38" s="65"/>
      <c r="D38" s="14">
        <v>0</v>
      </c>
      <c r="E38" s="14">
        <v>0</v>
      </c>
      <c r="F38" s="14">
        <v>0</v>
      </c>
    </row>
    <row r="39" spans="2:7" ht="15" customHeight="1">
      <c r="B39" s="6" t="s">
        <v>38</v>
      </c>
      <c r="C39" s="65">
        <v>23</v>
      </c>
      <c r="D39" s="14">
        <v>10408410</v>
      </c>
      <c r="E39" s="14">
        <v>9500813</v>
      </c>
      <c r="F39" s="14">
        <v>13988727</v>
      </c>
    </row>
    <row r="40" spans="2:7" ht="15" customHeight="1">
      <c r="B40" s="6" t="s">
        <v>39</v>
      </c>
      <c r="C40" s="65">
        <v>24</v>
      </c>
      <c r="D40" s="14">
        <v>3974890</v>
      </c>
      <c r="E40" s="14">
        <v>3334245</v>
      </c>
      <c r="F40" s="14">
        <v>1761814</v>
      </c>
    </row>
    <row r="41" spans="2:7" ht="15" customHeight="1">
      <c r="B41" s="6"/>
      <c r="C41" s="65"/>
      <c r="D41" s="15">
        <f>SUM(D38:D40)</f>
        <v>14383300</v>
      </c>
      <c r="E41" s="15">
        <f t="shared" ref="E41:F41" si="2">SUM(E38:E40)</f>
        <v>12835058</v>
      </c>
      <c r="F41" s="15">
        <f t="shared" si="2"/>
        <v>15750541</v>
      </c>
    </row>
    <row r="42" spans="2:7" ht="15" customHeight="1">
      <c r="B42" s="5" t="s">
        <v>40</v>
      </c>
      <c r="C42" s="65"/>
      <c r="D42" s="14"/>
      <c r="E42" s="14"/>
      <c r="F42" s="14"/>
    </row>
    <row r="43" spans="2:7" ht="15" customHeight="1">
      <c r="B43" s="6" t="s">
        <v>41</v>
      </c>
      <c r="C43" s="65">
        <v>21</v>
      </c>
      <c r="D43" s="14">
        <v>1415895</v>
      </c>
      <c r="E43" s="14">
        <v>633029</v>
      </c>
      <c r="F43" s="14">
        <v>721181</v>
      </c>
    </row>
    <row r="44" spans="2:7" ht="15" customHeight="1">
      <c r="B44" s="6" t="s">
        <v>42</v>
      </c>
      <c r="C44" s="65">
        <v>22</v>
      </c>
      <c r="D44" s="14">
        <v>174400</v>
      </c>
      <c r="E44" s="14">
        <v>1889441</v>
      </c>
      <c r="F44" s="14">
        <v>1863058</v>
      </c>
    </row>
    <row r="45" spans="2:7" ht="15" customHeight="1">
      <c r="B45" s="6" t="s">
        <v>19</v>
      </c>
      <c r="C45" s="65">
        <v>12</v>
      </c>
      <c r="D45" s="14">
        <v>425515</v>
      </c>
      <c r="E45" s="14">
        <v>408241</v>
      </c>
      <c r="F45" s="14">
        <v>400871</v>
      </c>
    </row>
    <row r="46" spans="2:7" ht="15" customHeight="1">
      <c r="B46" s="6" t="s">
        <v>43</v>
      </c>
      <c r="C46" s="65">
        <v>23</v>
      </c>
      <c r="D46" s="14">
        <v>6052620</v>
      </c>
      <c r="E46" s="14">
        <v>8118404</v>
      </c>
      <c r="F46" s="14">
        <v>7106798</v>
      </c>
    </row>
    <row r="47" spans="2:7" ht="15" customHeight="1">
      <c r="B47" s="6" t="s">
        <v>39</v>
      </c>
      <c r="C47" s="65">
        <v>24</v>
      </c>
      <c r="D47" s="14">
        <v>739384</v>
      </c>
      <c r="E47" s="14">
        <v>1304192</v>
      </c>
      <c r="F47" s="14">
        <v>1772055</v>
      </c>
    </row>
    <row r="48" spans="2:7" ht="15" customHeight="1">
      <c r="B48" s="6" t="s">
        <v>21</v>
      </c>
      <c r="C48" s="65">
        <v>14</v>
      </c>
      <c r="D48" s="14">
        <v>93483</v>
      </c>
      <c r="E48" s="14">
        <v>308504</v>
      </c>
      <c r="F48" s="14">
        <v>97868</v>
      </c>
      <c r="G48" s="1" t="s">
        <v>44</v>
      </c>
    </row>
    <row r="49" spans="2:22" ht="15" customHeight="1">
      <c r="B49" s="6"/>
      <c r="C49" s="65"/>
      <c r="D49" s="15">
        <f>SUM(D43:D48)</f>
        <v>8901297</v>
      </c>
      <c r="E49" s="15">
        <f t="shared" ref="E49:F49" si="3">SUM(E43:E48)</f>
        <v>12661811</v>
      </c>
      <c r="F49" s="15">
        <f t="shared" si="3"/>
        <v>11961831</v>
      </c>
    </row>
    <row r="50" spans="2:22" ht="15" customHeight="1">
      <c r="B50" s="8" t="s">
        <v>45</v>
      </c>
      <c r="C50" s="65"/>
      <c r="D50" s="15">
        <f>D49+D41</f>
        <v>23284597</v>
      </c>
      <c r="E50" s="15">
        <f t="shared" ref="E50:F50" si="4">E49+E41</f>
        <v>25496869</v>
      </c>
      <c r="F50" s="15">
        <f t="shared" si="4"/>
        <v>27712372</v>
      </c>
    </row>
    <row r="51" spans="2:22" ht="15" customHeight="1" thickBot="1">
      <c r="B51" s="10" t="s">
        <v>46</v>
      </c>
      <c r="C51" s="77"/>
      <c r="D51" s="17">
        <f>D34+D50</f>
        <v>43877152</v>
      </c>
      <c r="E51" s="17">
        <f t="shared" ref="E51:F51" si="5">E34+E50</f>
        <v>47937627</v>
      </c>
      <c r="F51" s="17">
        <f t="shared" si="5"/>
        <v>52072172</v>
      </c>
    </row>
    <row r="52" spans="2:22" ht="15" customHeight="1" thickTop="1">
      <c r="D52" s="18"/>
      <c r="E52" s="18"/>
      <c r="F52" s="18"/>
    </row>
    <row r="53" spans="2:22" ht="15" customHeight="1">
      <c r="D53" s="18">
        <f>D51-D24</f>
        <v>0</v>
      </c>
      <c r="E53" s="18">
        <f t="shared" ref="E53:F53" si="6">E51-E24</f>
        <v>0</v>
      </c>
      <c r="F53" s="18">
        <f t="shared" si="6"/>
        <v>0</v>
      </c>
    </row>
    <row r="54" spans="2:22" ht="15" customHeight="1">
      <c r="D54" s="18"/>
      <c r="E54" s="18"/>
      <c r="F54" s="18"/>
    </row>
    <row r="55" spans="2:22" ht="15" customHeight="1">
      <c r="B55" s="73" t="s">
        <v>47</v>
      </c>
      <c r="C55" s="78"/>
      <c r="D55" s="75"/>
      <c r="E55" s="75"/>
      <c r="F55" s="75"/>
      <c r="G55" s="89"/>
      <c r="H55" s="74"/>
      <c r="I55" s="74"/>
      <c r="J55" s="74"/>
      <c r="K55" s="74"/>
      <c r="L55" s="74"/>
      <c r="M55" s="74"/>
      <c r="N55" s="74"/>
      <c r="O55" s="74"/>
      <c r="P55" s="74"/>
      <c r="Q55" s="74"/>
    </row>
    <row r="56" spans="2:22" ht="15" customHeight="1">
      <c r="D56" s="18"/>
      <c r="E56" s="18"/>
      <c r="F56" s="18"/>
    </row>
    <row r="57" spans="2:22" ht="15" customHeight="1">
      <c r="B57" s="3" t="s">
        <v>48</v>
      </c>
      <c r="D57" s="18"/>
      <c r="E57" s="18"/>
      <c r="F57" s="18"/>
      <c r="H57" s="3" t="s">
        <v>49</v>
      </c>
      <c r="J57" s="18"/>
      <c r="K57" s="18"/>
      <c r="L57" s="18"/>
    </row>
    <row r="58" spans="2:22" ht="15" customHeight="1">
      <c r="B58" s="1" t="s">
        <v>50</v>
      </c>
      <c r="D58" s="18"/>
      <c r="E58" s="18"/>
      <c r="F58" s="18"/>
      <c r="H58" s="1" t="s">
        <v>51</v>
      </c>
      <c r="J58" s="18"/>
      <c r="K58" s="18"/>
      <c r="L58" s="18"/>
    </row>
    <row r="59" spans="2:22" ht="15" customHeight="1">
      <c r="B59" s="63"/>
      <c r="C59" s="26" t="s">
        <v>6</v>
      </c>
      <c r="D59" s="9">
        <v>2022</v>
      </c>
      <c r="E59" s="64">
        <v>2023</v>
      </c>
      <c r="F59" s="9">
        <v>2024</v>
      </c>
      <c r="H59" s="63"/>
      <c r="I59" s="26" t="s">
        <v>6</v>
      </c>
      <c r="J59" s="9">
        <v>2022</v>
      </c>
      <c r="K59" s="64">
        <v>2023</v>
      </c>
      <c r="L59" s="9">
        <v>2024</v>
      </c>
    </row>
    <row r="60" spans="2:22" ht="15" customHeight="1">
      <c r="B60" s="60" t="s">
        <v>52</v>
      </c>
      <c r="C60" s="65"/>
      <c r="D60" s="14"/>
      <c r="E60" s="18"/>
      <c r="F60" s="14">
        <v>182949</v>
      </c>
      <c r="H60" s="60" t="s">
        <v>52</v>
      </c>
      <c r="I60" s="65"/>
      <c r="J60" s="14">
        <v>36916</v>
      </c>
      <c r="K60" s="18">
        <v>31714</v>
      </c>
      <c r="L60" s="14">
        <v>94223</v>
      </c>
      <c r="M60" s="119" t="s">
        <v>53</v>
      </c>
      <c r="N60" s="119"/>
    </row>
    <row r="61" spans="2:22" ht="15" customHeight="1">
      <c r="B61" s="60" t="s">
        <v>54</v>
      </c>
      <c r="C61" s="65"/>
      <c r="D61" s="14"/>
      <c r="E61" s="18"/>
      <c r="F61" s="14"/>
      <c r="H61" s="60" t="s">
        <v>54</v>
      </c>
      <c r="I61" s="65"/>
      <c r="J61" s="14">
        <v>91627</v>
      </c>
      <c r="K61" s="18">
        <v>95528</v>
      </c>
      <c r="L61" s="14"/>
      <c r="M61" s="119" t="s">
        <v>55</v>
      </c>
      <c r="N61" s="119"/>
    </row>
    <row r="62" spans="2:22" ht="15" customHeight="1">
      <c r="B62" s="60" t="s">
        <v>56</v>
      </c>
      <c r="C62" s="65"/>
      <c r="D62" s="14">
        <v>299077</v>
      </c>
      <c r="E62" s="18">
        <v>254510</v>
      </c>
      <c r="F62" s="14">
        <v>581110</v>
      </c>
      <c r="H62" s="60" t="s">
        <v>57</v>
      </c>
      <c r="I62" s="65"/>
      <c r="J62" s="14"/>
      <c r="K62" s="18"/>
      <c r="L62" s="14"/>
      <c r="M62" s="119" t="s">
        <v>55</v>
      </c>
      <c r="N62" s="119"/>
    </row>
    <row r="63" spans="2:22" ht="15" customHeight="1">
      <c r="B63" s="60" t="s">
        <v>58</v>
      </c>
      <c r="C63" s="65"/>
      <c r="D63" s="14"/>
      <c r="E63" s="18"/>
      <c r="F63" s="14"/>
      <c r="H63" s="60" t="s">
        <v>58</v>
      </c>
      <c r="I63" s="65"/>
      <c r="J63" s="14">
        <v>296729</v>
      </c>
      <c r="K63" s="18">
        <v>280999</v>
      </c>
      <c r="L63" s="14">
        <v>306648</v>
      </c>
      <c r="M63" s="119" t="s">
        <v>55</v>
      </c>
      <c r="N63" s="119"/>
    </row>
    <row r="64" spans="2:22" ht="15" customHeight="1">
      <c r="B64" s="61" t="s">
        <v>59</v>
      </c>
      <c r="C64" s="68"/>
      <c r="D64" s="58"/>
      <c r="E64" s="62"/>
      <c r="F64" s="58"/>
      <c r="H64" s="61" t="s">
        <v>59</v>
      </c>
      <c r="I64" s="68"/>
      <c r="J64" s="58">
        <v>243</v>
      </c>
      <c r="K64" s="62"/>
      <c r="L64" s="58"/>
      <c r="M64" s="119" t="s">
        <v>55</v>
      </c>
      <c r="N64" s="307" t="s">
        <v>60</v>
      </c>
      <c r="O64" s="307"/>
      <c r="P64" s="307"/>
      <c r="Q64" s="307"/>
      <c r="R64" s="307"/>
      <c r="S64" s="307"/>
      <c r="T64" s="307"/>
      <c r="U64" s="307"/>
      <c r="V64" s="307"/>
    </row>
    <row r="65" spans="2:14" ht="15" customHeight="1">
      <c r="B65" s="311" t="s">
        <v>61</v>
      </c>
      <c r="C65" s="312"/>
      <c r="D65" s="312"/>
      <c r="E65" s="312"/>
      <c r="F65" s="313"/>
      <c r="J65" s="18"/>
      <c r="K65" s="18"/>
      <c r="L65" s="18"/>
      <c r="M65" s="118"/>
      <c r="N65" s="118"/>
    </row>
    <row r="66" spans="2:14" ht="15" customHeight="1">
      <c r="B66" s="314"/>
      <c r="C66" s="315"/>
      <c r="D66" s="315"/>
      <c r="E66" s="315"/>
      <c r="F66" s="316"/>
      <c r="J66" s="18">
        <f>SUM(J60:J64)-D45</f>
        <v>0</v>
      </c>
      <c r="K66" s="18">
        <f>SUM(K60:K64)-E45</f>
        <v>0</v>
      </c>
      <c r="L66" s="18">
        <f>SUM(L60:L64)-F45</f>
        <v>0</v>
      </c>
    </row>
    <row r="67" spans="2:14" ht="15" customHeight="1">
      <c r="D67" s="18"/>
      <c r="E67" s="18"/>
      <c r="F67" s="18"/>
      <c r="H67" s="18"/>
    </row>
    <row r="68" spans="2:14" ht="15" customHeight="1">
      <c r="B68" s="3" t="s">
        <v>62</v>
      </c>
      <c r="D68" s="18"/>
      <c r="E68" s="18"/>
      <c r="F68" s="18"/>
    </row>
    <row r="69" spans="2:14" ht="15" customHeight="1">
      <c r="B69" s="1" t="s">
        <v>63</v>
      </c>
      <c r="D69" s="18"/>
      <c r="E69" s="18"/>
      <c r="F69" s="18"/>
    </row>
    <row r="70" spans="2:14" ht="15" customHeight="1">
      <c r="B70" s="63"/>
      <c r="C70" s="26" t="s">
        <v>6</v>
      </c>
      <c r="D70" s="9">
        <v>2022</v>
      </c>
      <c r="E70" s="64">
        <v>2023</v>
      </c>
      <c r="F70" s="9">
        <v>2024</v>
      </c>
    </row>
    <row r="71" spans="2:14" ht="15" customHeight="1">
      <c r="B71" s="60" t="s">
        <v>64</v>
      </c>
      <c r="C71" s="69"/>
      <c r="D71" s="25">
        <v>159197</v>
      </c>
      <c r="E71" s="25">
        <v>154858</v>
      </c>
      <c r="F71" s="25">
        <v>387998</v>
      </c>
    </row>
    <row r="72" spans="2:14" ht="15" customHeight="1">
      <c r="B72" s="60" t="s">
        <v>65</v>
      </c>
      <c r="C72" s="65"/>
      <c r="D72" s="14">
        <v>19164</v>
      </c>
      <c r="E72" s="14">
        <v>35792</v>
      </c>
      <c r="F72" s="14">
        <v>200326</v>
      </c>
      <c r="G72" s="119" t="s">
        <v>66</v>
      </c>
    </row>
    <row r="73" spans="2:14" ht="15" customHeight="1">
      <c r="B73" s="60" t="s">
        <v>67</v>
      </c>
      <c r="C73" s="65"/>
      <c r="D73" s="14">
        <v>3717384</v>
      </c>
      <c r="E73" s="14">
        <v>4874137</v>
      </c>
      <c r="F73" s="14">
        <v>5876449</v>
      </c>
      <c r="G73" s="118"/>
    </row>
    <row r="74" spans="2:14" ht="15" customHeight="1">
      <c r="B74" s="60" t="s">
        <v>68</v>
      </c>
      <c r="C74" s="65"/>
      <c r="D74" s="14">
        <v>4242</v>
      </c>
      <c r="E74" s="14">
        <v>23462</v>
      </c>
      <c r="F74" s="14">
        <v>0</v>
      </c>
      <c r="G74" s="118"/>
    </row>
    <row r="75" spans="2:14" ht="18.600000000000001" customHeight="1">
      <c r="B75" s="60" t="s">
        <v>69</v>
      </c>
      <c r="C75" s="65"/>
      <c r="D75" s="14">
        <v>13181</v>
      </c>
      <c r="E75" s="14">
        <v>13181</v>
      </c>
      <c r="F75" s="14">
        <v>13181</v>
      </c>
      <c r="G75" s="119" t="s">
        <v>70</v>
      </c>
      <c r="H75" s="119" t="s">
        <v>71</v>
      </c>
    </row>
    <row r="76" spans="2:14" ht="22.9" customHeight="1">
      <c r="B76" s="92" t="s">
        <v>72</v>
      </c>
      <c r="C76" s="93"/>
      <c r="D76" s="94">
        <v>239361</v>
      </c>
      <c r="E76" s="94">
        <v>409987</v>
      </c>
      <c r="F76" s="94">
        <v>598605</v>
      </c>
      <c r="G76" s="119" t="s">
        <v>66</v>
      </c>
      <c r="H76" s="120" t="s">
        <v>73</v>
      </c>
    </row>
    <row r="77" spans="2:14" ht="15" customHeight="1">
      <c r="D77" s="18"/>
      <c r="E77" s="18"/>
      <c r="F77" s="18"/>
    </row>
    <row r="78" spans="2:14" ht="15" customHeight="1">
      <c r="D78" s="18">
        <f>SUM(D71:D76)-D20</f>
        <v>0</v>
      </c>
      <c r="E78" s="18">
        <f>SUM(E71:E76)-E20</f>
        <v>0</v>
      </c>
      <c r="F78" s="18">
        <f>SUM(F71:F76)-F20</f>
        <v>0</v>
      </c>
    </row>
    <row r="79" spans="2:14" ht="15" customHeight="1">
      <c r="D79" s="18"/>
      <c r="E79" s="18"/>
      <c r="F79" s="18"/>
    </row>
    <row r="80" spans="2:14" ht="15" customHeight="1">
      <c r="B80" s="3" t="s">
        <v>74</v>
      </c>
      <c r="D80" s="18"/>
      <c r="E80" s="18"/>
      <c r="F80" s="18"/>
    </row>
    <row r="81" spans="2:13" ht="15" customHeight="1">
      <c r="B81" s="1" t="s">
        <v>75</v>
      </c>
      <c r="D81" s="18"/>
      <c r="E81" s="18"/>
      <c r="F81" s="18"/>
      <c r="H81" s="1" t="s">
        <v>76</v>
      </c>
      <c r="I81" s="66"/>
      <c r="J81" s="18"/>
      <c r="K81" s="18"/>
      <c r="L81" s="18"/>
    </row>
    <row r="82" spans="2:13" ht="15" customHeight="1">
      <c r="B82" s="63"/>
      <c r="C82" s="26" t="s">
        <v>6</v>
      </c>
      <c r="D82" s="9">
        <v>2022</v>
      </c>
      <c r="E82" s="64">
        <v>2023</v>
      </c>
      <c r="F82" s="9">
        <v>2024</v>
      </c>
      <c r="H82" s="63"/>
      <c r="I82" s="26" t="s">
        <v>6</v>
      </c>
      <c r="J82" s="9">
        <v>2022</v>
      </c>
      <c r="K82" s="64">
        <v>2023</v>
      </c>
      <c r="L82" s="9">
        <v>2024</v>
      </c>
    </row>
    <row r="83" spans="2:13" ht="15" customHeight="1">
      <c r="B83" s="59" t="s">
        <v>77</v>
      </c>
      <c r="C83" s="69">
        <v>14</v>
      </c>
      <c r="D83" s="25">
        <v>47070</v>
      </c>
      <c r="E83" s="25">
        <v>32435</v>
      </c>
      <c r="F83" s="25">
        <v>45137</v>
      </c>
      <c r="H83" s="96" t="s">
        <v>78</v>
      </c>
      <c r="I83" s="97">
        <v>14</v>
      </c>
      <c r="J83" s="98">
        <v>93483</v>
      </c>
      <c r="K83" s="98">
        <v>308504</v>
      </c>
      <c r="L83" s="98">
        <v>97868</v>
      </c>
      <c r="M83" s="88"/>
    </row>
    <row r="84" spans="2:13" ht="15" customHeight="1">
      <c r="B84" s="92" t="s">
        <v>79</v>
      </c>
      <c r="C84" s="93">
        <v>14</v>
      </c>
      <c r="D84" s="95">
        <v>128847</v>
      </c>
      <c r="E84" s="94">
        <v>155079</v>
      </c>
      <c r="F84" s="94">
        <v>161198</v>
      </c>
      <c r="I84" s="66"/>
      <c r="J84" s="18"/>
      <c r="K84" s="18"/>
      <c r="L84" s="18"/>
    </row>
    <row r="85" spans="2:13" ht="15" customHeight="1">
      <c r="D85" s="18"/>
      <c r="E85" s="18"/>
      <c r="F85" s="18"/>
      <c r="I85" s="66"/>
      <c r="J85" s="18"/>
      <c r="K85" s="18"/>
      <c r="L85" s="18"/>
    </row>
    <row r="86" spans="2:13" ht="15" customHeight="1">
      <c r="D86" s="18">
        <f>SUM(D83:D84)-D21</f>
        <v>0</v>
      </c>
      <c r="E86" s="18">
        <f t="shared" ref="E86:F86" si="7">SUM(E83:E84)-E21</f>
        <v>0</v>
      </c>
      <c r="F86" s="18">
        <f t="shared" si="7"/>
        <v>0</v>
      </c>
      <c r="I86" s="66"/>
    </row>
    <row r="87" spans="2:13" ht="15" customHeight="1">
      <c r="D87" s="18"/>
      <c r="E87" s="18"/>
      <c r="F87" s="18"/>
    </row>
    <row r="88" spans="2:13" ht="15" customHeight="1">
      <c r="B88" s="3" t="s">
        <v>80</v>
      </c>
      <c r="D88" s="18"/>
      <c r="E88" s="18"/>
      <c r="F88" s="18"/>
    </row>
    <row r="89" spans="2:13" ht="15" customHeight="1">
      <c r="B89" s="1" t="s">
        <v>81</v>
      </c>
      <c r="D89" s="18"/>
      <c r="E89" s="18"/>
      <c r="F89" s="18"/>
    </row>
    <row r="90" spans="2:13" ht="15" customHeight="1">
      <c r="B90" s="63"/>
      <c r="C90" s="26" t="s">
        <v>6</v>
      </c>
      <c r="D90" s="9">
        <v>2022</v>
      </c>
      <c r="E90" s="64">
        <v>2023</v>
      </c>
      <c r="F90" s="9">
        <v>2024</v>
      </c>
    </row>
    <row r="91" spans="2:13" ht="15" customHeight="1">
      <c r="B91" s="24" t="s">
        <v>82</v>
      </c>
      <c r="C91" s="69">
        <v>24</v>
      </c>
      <c r="D91" s="25">
        <v>1010567</v>
      </c>
      <c r="E91" s="25">
        <v>400</v>
      </c>
      <c r="F91" s="25">
        <v>400</v>
      </c>
    </row>
    <row r="92" spans="2:13" ht="15" customHeight="1">
      <c r="B92" s="6" t="s">
        <v>83</v>
      </c>
      <c r="C92" s="65">
        <v>24</v>
      </c>
      <c r="D92" s="18">
        <v>284261</v>
      </c>
      <c r="E92" s="14">
        <v>595113</v>
      </c>
      <c r="F92" s="14">
        <v>485290</v>
      </c>
    </row>
    <row r="93" spans="2:13" ht="15" customHeight="1">
      <c r="B93" s="61" t="s">
        <v>84</v>
      </c>
      <c r="C93" s="68">
        <v>24</v>
      </c>
      <c r="D93" s="58">
        <v>31329</v>
      </c>
      <c r="E93" s="62"/>
      <c r="F93" s="58"/>
    </row>
    <row r="94" spans="2:13" ht="15" customHeight="1">
      <c r="B94" s="100" t="s">
        <v>85</v>
      </c>
      <c r="C94" s="68"/>
      <c r="D94" s="99">
        <f>SUM(D91:D93)</f>
        <v>1326157</v>
      </c>
      <c r="E94" s="99">
        <f t="shared" ref="E94:F94" si="8">SUM(E91:E93)</f>
        <v>595513</v>
      </c>
      <c r="F94" s="99">
        <f t="shared" si="8"/>
        <v>485690</v>
      </c>
    </row>
    <row r="95" spans="2:13" ht="15" customHeight="1">
      <c r="D95" s="18"/>
      <c r="E95" s="18"/>
      <c r="F95" s="18"/>
    </row>
    <row r="96" spans="2:13" ht="15" customHeight="1">
      <c r="B96" s="1" t="s">
        <v>86</v>
      </c>
      <c r="D96" s="18"/>
      <c r="E96" s="18"/>
      <c r="F96" s="18"/>
    </row>
    <row r="97" spans="2:10" ht="15" customHeight="1">
      <c r="B97" s="63"/>
      <c r="C97" s="26" t="s">
        <v>6</v>
      </c>
      <c r="D97" s="9">
        <v>2022</v>
      </c>
      <c r="E97" s="64">
        <v>2023</v>
      </c>
      <c r="F97" s="9">
        <v>2024</v>
      </c>
    </row>
    <row r="98" spans="2:10" ht="15" customHeight="1">
      <c r="B98" s="24" t="s">
        <v>87</v>
      </c>
      <c r="C98" s="69">
        <v>24</v>
      </c>
      <c r="D98" s="25">
        <v>174063</v>
      </c>
      <c r="E98" s="25">
        <v>174063</v>
      </c>
      <c r="F98" s="25">
        <v>174063</v>
      </c>
    </row>
    <row r="99" spans="2:10" ht="15" customHeight="1">
      <c r="B99" s="6" t="s">
        <v>88</v>
      </c>
      <c r="C99" s="65">
        <v>24</v>
      </c>
      <c r="D99" s="14">
        <v>22500</v>
      </c>
      <c r="E99" s="18">
        <v>22500</v>
      </c>
      <c r="F99" s="14">
        <v>23000</v>
      </c>
    </row>
    <row r="100" spans="2:10" ht="15" customHeight="1">
      <c r="B100" s="6" t="s">
        <v>89</v>
      </c>
      <c r="C100" s="65">
        <v>24</v>
      </c>
      <c r="D100" s="18">
        <v>1800000</v>
      </c>
      <c r="E100" s="14">
        <v>1800000</v>
      </c>
      <c r="F100" s="14">
        <v>737850</v>
      </c>
    </row>
    <row r="101" spans="2:10" ht="15" customHeight="1">
      <c r="B101" s="101" t="s">
        <v>90</v>
      </c>
      <c r="C101" s="93">
        <v>24</v>
      </c>
      <c r="D101" s="95">
        <v>652170</v>
      </c>
      <c r="E101" s="94">
        <v>742169</v>
      </c>
      <c r="F101" s="94">
        <v>341211</v>
      </c>
    </row>
    <row r="102" spans="2:10" ht="15" customHeight="1">
      <c r="B102" s="100" t="s">
        <v>91</v>
      </c>
      <c r="C102" s="68"/>
      <c r="D102" s="99">
        <f>SUM(D98:D101)</f>
        <v>2648733</v>
      </c>
      <c r="E102" s="99">
        <f t="shared" ref="E102:F102" si="9">SUM(E98:E101)</f>
        <v>2738732</v>
      </c>
      <c r="F102" s="99">
        <f t="shared" si="9"/>
        <v>1276124</v>
      </c>
    </row>
    <row r="103" spans="2:10" ht="15" customHeight="1">
      <c r="D103" s="18"/>
      <c r="E103" s="18"/>
      <c r="F103" s="18"/>
    </row>
    <row r="104" spans="2:10" ht="15" customHeight="1">
      <c r="B104" s="12" t="s">
        <v>92</v>
      </c>
      <c r="D104" s="20">
        <f>D94+D102</f>
        <v>3974890</v>
      </c>
      <c r="E104" s="20">
        <f t="shared" ref="E104:F104" si="10">E94+E102</f>
        <v>3334245</v>
      </c>
      <c r="F104" s="20">
        <f t="shared" si="10"/>
        <v>1761814</v>
      </c>
      <c r="G104" s="88" t="s">
        <v>93</v>
      </c>
    </row>
    <row r="105" spans="2:10" ht="15" customHeight="1">
      <c r="D105" s="18">
        <f>D104-D40</f>
        <v>0</v>
      </c>
      <c r="E105" s="18">
        <f t="shared" ref="E105:F105" si="11">E104-E40</f>
        <v>0</v>
      </c>
      <c r="F105" s="18">
        <f t="shared" si="11"/>
        <v>0</v>
      </c>
      <c r="G105" s="88" t="s">
        <v>94</v>
      </c>
    </row>
    <row r="106" spans="2:10" ht="15" customHeight="1">
      <c r="D106" s="18"/>
      <c r="E106" s="18"/>
      <c r="F106" s="18"/>
      <c r="G106" s="308" t="s">
        <v>95</v>
      </c>
      <c r="H106" s="308"/>
      <c r="I106" s="308"/>
      <c r="J106" s="308"/>
    </row>
    <row r="107" spans="2:10" ht="15" customHeight="1">
      <c r="D107" s="18"/>
      <c r="E107" s="18"/>
      <c r="F107" s="18"/>
      <c r="G107" s="308"/>
      <c r="H107" s="308"/>
      <c r="I107" s="308"/>
      <c r="J107" s="308"/>
    </row>
    <row r="108" spans="2:10" ht="15" customHeight="1">
      <c r="D108" s="18"/>
      <c r="E108" s="18"/>
      <c r="F108" s="18"/>
    </row>
    <row r="109" spans="2:10" ht="15" customHeight="1">
      <c r="D109" s="18"/>
      <c r="E109" s="18"/>
      <c r="F109" s="18"/>
      <c r="G109" s="113"/>
      <c r="H109" s="113"/>
      <c r="I109" s="113"/>
      <c r="J109" s="113"/>
    </row>
    <row r="110" spans="2:10" ht="15" customHeight="1">
      <c r="D110" s="18"/>
      <c r="E110" s="18"/>
      <c r="F110" s="18"/>
      <c r="G110" s="113"/>
      <c r="H110" s="113"/>
      <c r="I110" s="113"/>
      <c r="J110" s="113"/>
    </row>
    <row r="111" spans="2:10" ht="15" customHeight="1">
      <c r="D111" s="18"/>
      <c r="E111" s="18"/>
      <c r="F111" s="18"/>
      <c r="G111" s="113"/>
      <c r="H111" s="113"/>
      <c r="I111" s="113"/>
      <c r="J111" s="113"/>
    </row>
    <row r="112" spans="2:10" ht="15" customHeight="1">
      <c r="D112" s="18"/>
      <c r="E112" s="18"/>
      <c r="F112" s="18"/>
    </row>
    <row r="113" spans="4:6" ht="15" customHeight="1">
      <c r="D113" s="18"/>
      <c r="E113" s="18"/>
      <c r="F113" s="18"/>
    </row>
  </sheetData>
  <mergeCells count="6">
    <mergeCell ref="N64:V64"/>
    <mergeCell ref="G106:J107"/>
    <mergeCell ref="D5:F5"/>
    <mergeCell ref="C5:C6"/>
    <mergeCell ref="B5:B6"/>
    <mergeCell ref="B65:F66"/>
  </mergeCells>
  <pageMargins left="0.7" right="0.7" top="0.75" bottom="0.75" header="0.3" footer="0.3"/>
  <ignoredErrors>
    <ignoredError sqref="J66:L66 D78:F78 D86:F86 D94:F94 D102:F10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07"/>
  <sheetViews>
    <sheetView topLeftCell="A2" zoomScale="90" workbookViewId="0">
      <selection activeCell="D23" sqref="D23"/>
    </sheetView>
  </sheetViews>
  <sheetFormatPr defaultColWidth="9.140625" defaultRowHeight="15" customHeight="1"/>
  <cols>
    <col min="1" max="1" width="8.140625" style="1" customWidth="1"/>
    <col min="2" max="2" width="39.5703125" style="1" customWidth="1"/>
    <col min="3" max="3" width="6.42578125" style="1" customWidth="1"/>
    <col min="4" max="4" width="12.7109375" style="1" customWidth="1"/>
    <col min="5" max="7" width="14.5703125" style="2" bestFit="1" customWidth="1"/>
    <col min="8" max="8" width="9.140625" style="1"/>
    <col min="9" max="11" width="9.42578125" style="1" bestFit="1" customWidth="1"/>
    <col min="12" max="16384" width="9.140625" style="1"/>
  </cols>
  <sheetData>
    <row r="2" spans="1:8" ht="15" customHeight="1">
      <c r="A2" s="3" t="s">
        <v>0</v>
      </c>
      <c r="B2" s="3" t="s">
        <v>96</v>
      </c>
    </row>
    <row r="4" spans="1:8" ht="15" customHeight="1">
      <c r="B4" s="3" t="s">
        <v>97</v>
      </c>
      <c r="C4" s="3"/>
      <c r="D4" s="3"/>
      <c r="E4" s="4"/>
      <c r="F4" s="4"/>
      <c r="G4" s="13" t="s">
        <v>4</v>
      </c>
    </row>
    <row r="5" spans="1:8" ht="15" customHeight="1">
      <c r="B5" s="310" t="s">
        <v>5</v>
      </c>
      <c r="C5" s="310" t="s">
        <v>6</v>
      </c>
      <c r="D5" s="230"/>
      <c r="E5" s="309" t="s">
        <v>7</v>
      </c>
      <c r="F5" s="309"/>
      <c r="G5" s="309"/>
    </row>
    <row r="6" spans="1:8" ht="15" customHeight="1">
      <c r="B6" s="310"/>
      <c r="C6" s="310"/>
      <c r="D6" s="233">
        <v>2021</v>
      </c>
      <c r="E6" s="9">
        <v>2022</v>
      </c>
      <c r="F6" s="9">
        <v>2023</v>
      </c>
      <c r="G6" s="9">
        <v>2024</v>
      </c>
    </row>
    <row r="7" spans="1:8" ht="15" customHeight="1">
      <c r="B7" s="55" t="s">
        <v>98</v>
      </c>
      <c r="C7" s="70"/>
      <c r="D7" s="56"/>
      <c r="E7" s="56"/>
      <c r="F7" s="56"/>
      <c r="G7" s="56"/>
    </row>
    <row r="8" spans="1:8" ht="15" customHeight="1">
      <c r="B8" s="6" t="str">
        <f>'Balanço Contab'!B9</f>
        <v>Ativos fixos tangíveis</v>
      </c>
      <c r="C8" s="76">
        <f>'Balanço Contab'!C9</f>
        <v>5</v>
      </c>
      <c r="D8" s="126">
        <v>21318266</v>
      </c>
      <c r="E8" s="14">
        <f>'Balanço Contab'!D9</f>
        <v>19459800</v>
      </c>
      <c r="F8" s="14">
        <f>'Balanço Contab'!E9</f>
        <v>18666571.5</v>
      </c>
      <c r="G8" s="14">
        <f>'Balanço Contab'!F9</f>
        <v>20729865.5</v>
      </c>
    </row>
    <row r="9" spans="1:8" ht="15" customHeight="1">
      <c r="B9" s="6" t="str">
        <f>'Balanço Contab'!B10</f>
        <v>Propriedades de investimento</v>
      </c>
      <c r="C9" s="76">
        <f>'Balanço Contab'!C10</f>
        <v>6</v>
      </c>
      <c r="D9" s="126">
        <v>80038</v>
      </c>
      <c r="E9" s="14">
        <f>'Balanço Contab'!D10</f>
        <v>78216</v>
      </c>
      <c r="F9" s="14">
        <f>'Balanço Contab'!E10</f>
        <v>76393</v>
      </c>
      <c r="G9" s="14">
        <f>'Balanço Contab'!F10</f>
        <v>74571</v>
      </c>
    </row>
    <row r="10" spans="1:8" ht="15" customHeight="1">
      <c r="B10" s="6" t="str">
        <f>'Balanço Contab'!B11</f>
        <v>Ativos intangíveis</v>
      </c>
      <c r="C10" s="76">
        <f>'Balanço Contab'!C11</f>
        <v>7</v>
      </c>
      <c r="D10" s="126">
        <v>312295</v>
      </c>
      <c r="E10" s="14">
        <f>'Balanço Contab'!D11</f>
        <v>278210</v>
      </c>
      <c r="F10" s="14">
        <f>'Balanço Contab'!E11</f>
        <v>261041</v>
      </c>
      <c r="G10" s="14">
        <f>'Balanço Contab'!F11</f>
        <v>242369</v>
      </c>
    </row>
    <row r="11" spans="1:8" ht="15" customHeight="1">
      <c r="B11" s="6" t="str">
        <f>'Balanço Contab'!B12</f>
        <v>Participações financeiras - Outros métodos</v>
      </c>
      <c r="C11" s="76">
        <f>'Balanço Contab'!C12</f>
        <v>8</v>
      </c>
      <c r="D11" s="126">
        <v>160000</v>
      </c>
      <c r="E11" s="14">
        <f>'Balanço Contab'!D12</f>
        <v>160000</v>
      </c>
      <c r="F11" s="14">
        <f>'Balanço Contab'!E12</f>
        <v>166000</v>
      </c>
      <c r="G11" s="14">
        <f>'Balanço Contab'!F12</f>
        <v>166000</v>
      </c>
    </row>
    <row r="12" spans="1:8" ht="15" customHeight="1">
      <c r="B12" s="6" t="str">
        <f>'Balanço Contab'!B13</f>
        <v xml:space="preserve">Outros ativos financeiros </v>
      </c>
      <c r="C12" s="76"/>
      <c r="D12" s="126">
        <v>345</v>
      </c>
      <c r="E12" s="14">
        <f>'Balanço Contab'!D13</f>
        <v>2392</v>
      </c>
      <c r="F12" s="14">
        <f>'Balanço Contab'!E13</f>
        <v>2944</v>
      </c>
      <c r="G12" s="14">
        <f>'Balanço Contab'!F13</f>
        <v>2887</v>
      </c>
    </row>
    <row r="13" spans="1:8" ht="15" customHeight="1">
      <c r="B13" s="6" t="str">
        <f>'Balanço Contab'!B14</f>
        <v>Ativos por impostos diferidos</v>
      </c>
      <c r="C13" s="76">
        <f>'Balanço Contab'!C14</f>
        <v>9</v>
      </c>
      <c r="D13" s="126">
        <v>3480361</v>
      </c>
      <c r="E13" s="14">
        <f>'Balanço Contab'!D14</f>
        <v>3543112</v>
      </c>
      <c r="F13" s="14">
        <f>'Balanço Contab'!E14</f>
        <v>2870650</v>
      </c>
      <c r="G13" s="14">
        <f>'Balanço Contab'!F14</f>
        <v>3308871</v>
      </c>
    </row>
    <row r="14" spans="1:8" ht="15" customHeight="1">
      <c r="B14" s="6" t="s">
        <v>20</v>
      </c>
      <c r="C14" s="76">
        <v>13</v>
      </c>
      <c r="D14" s="126">
        <v>13181</v>
      </c>
      <c r="E14" s="14">
        <f>'Balanço Contab'!D75</f>
        <v>13181</v>
      </c>
      <c r="F14" s="14">
        <f>'Balanço Contab'!E75</f>
        <v>13181</v>
      </c>
      <c r="G14" s="14">
        <f>'Balanço Contab'!F75</f>
        <v>13181</v>
      </c>
      <c r="H14" s="1" t="s">
        <v>99</v>
      </c>
    </row>
    <row r="15" spans="1:8" ht="15" customHeight="1">
      <c r="B15" s="6"/>
      <c r="C15" s="71"/>
      <c r="D15" s="234">
        <f>SUM(D8:D14)</f>
        <v>25364486</v>
      </c>
      <c r="E15" s="15">
        <f>SUM(E8:E14)</f>
        <v>23534911</v>
      </c>
      <c r="F15" s="15">
        <f t="shared" ref="F15:G15" si="0">SUM(F8:F14)</f>
        <v>22056780.5</v>
      </c>
      <c r="G15" s="15">
        <f t="shared" si="0"/>
        <v>24537744.5</v>
      </c>
    </row>
    <row r="16" spans="1:8" ht="15" customHeight="1">
      <c r="B16" s="55" t="s">
        <v>100</v>
      </c>
      <c r="C16" s="70"/>
      <c r="D16" s="235"/>
      <c r="E16" s="57"/>
      <c r="F16" s="57"/>
      <c r="G16" s="57"/>
      <c r="H16" s="273" t="s">
        <v>101</v>
      </c>
    </row>
    <row r="17" spans="2:12" ht="15" customHeight="1">
      <c r="B17" s="6" t="str">
        <f>'Balanço Contab'!B17</f>
        <v>Inventários</v>
      </c>
      <c r="C17" s="76">
        <f>'Balanço Contab'!C17</f>
        <v>10</v>
      </c>
      <c r="D17" s="126">
        <v>2142568</v>
      </c>
      <c r="E17" s="14">
        <f>'Balanço Contab'!D17</f>
        <v>2476629</v>
      </c>
      <c r="F17" s="14">
        <f>'Balanço Contab'!E17</f>
        <v>2368546</v>
      </c>
      <c r="G17" s="14">
        <f>'Balanço Contab'!F17</f>
        <v>2667287</v>
      </c>
    </row>
    <row r="18" spans="2:12" ht="15" customHeight="1">
      <c r="B18" s="6" t="str">
        <f>'Balanço Contab'!B18</f>
        <v>Clientes</v>
      </c>
      <c r="C18" s="76">
        <f>'Balanço Contab'!C18</f>
        <v>11</v>
      </c>
      <c r="D18" s="126">
        <v>9505101</v>
      </c>
      <c r="E18" s="14">
        <f>'Balanço Contab'!D18</f>
        <v>10993343</v>
      </c>
      <c r="F18" s="14">
        <f>'Balanço Contab'!E18</f>
        <v>13433627.5</v>
      </c>
      <c r="G18" s="14">
        <f>'Balanço Contab'!F18</f>
        <v>15033498.5</v>
      </c>
      <c r="J18" s="18"/>
      <c r="K18" s="18"/>
      <c r="L18" s="18"/>
    </row>
    <row r="19" spans="2:12" ht="15" customHeight="1">
      <c r="B19" s="6" t="str">
        <f>'Balanço Contab'!B19</f>
        <v>Estado e Outros Entes Públicos</v>
      </c>
      <c r="C19" s="76">
        <f>'Balanço Contab'!C19</f>
        <v>12</v>
      </c>
      <c r="D19" s="126">
        <v>247309</v>
      </c>
      <c r="E19" s="14">
        <f>'Balanço Contab'!D62</f>
        <v>299077</v>
      </c>
      <c r="F19" s="14">
        <f>'Balanço Contab'!E62</f>
        <v>254510</v>
      </c>
      <c r="G19" s="14">
        <f>'Balanço Contab'!F62</f>
        <v>581110</v>
      </c>
      <c r="H19" s="1" t="s">
        <v>102</v>
      </c>
    </row>
    <row r="20" spans="2:12" ht="15" customHeight="1">
      <c r="B20" s="6" t="str">
        <f>'Balanço Contab'!B20</f>
        <v>Outros créditos a receber</v>
      </c>
      <c r="C20" s="76">
        <f>'Balanço Contab'!C20</f>
        <v>13</v>
      </c>
      <c r="D20" s="126">
        <f>219243+50602+2678539+668447</f>
        <v>3616831</v>
      </c>
      <c r="E20" s="14">
        <f>'Balanço Contab'!D71+'Balanço Contab'!D72+'Balanço Contab'!D73+'Balanço Contab'!D76</f>
        <v>4135106</v>
      </c>
      <c r="F20" s="14">
        <f>'Balanço Contab'!E71+'Balanço Contab'!E72+'Balanço Contab'!E73+'Balanço Contab'!E76</f>
        <v>5474774</v>
      </c>
      <c r="G20" s="14">
        <f>'Balanço Contab'!F71+'Balanço Contab'!F72+'Balanço Contab'!F73+'Balanço Contab'!F76</f>
        <v>7063378</v>
      </c>
      <c r="H20" s="1" t="s">
        <v>103</v>
      </c>
      <c r="J20" s="18"/>
      <c r="K20" s="18"/>
      <c r="L20" s="18"/>
    </row>
    <row r="21" spans="2:12" ht="15" customHeight="1">
      <c r="B21" s="6" t="str">
        <f>'Balanço Contab'!B21</f>
        <v>Diferimentos</v>
      </c>
      <c r="C21" s="76">
        <f>'Balanço Contab'!C21</f>
        <v>14</v>
      </c>
      <c r="D21" s="126">
        <v>135936</v>
      </c>
      <c r="E21" s="14">
        <f>'Balanço Contab'!D83+'Balanço Contab'!D84</f>
        <v>175917</v>
      </c>
      <c r="F21" s="14">
        <f>'Balanço Contab'!E83+'Balanço Contab'!E84</f>
        <v>187514</v>
      </c>
      <c r="G21" s="14">
        <f>'Balanço Contab'!F83+'Balanço Contab'!F84</f>
        <v>206335</v>
      </c>
      <c r="H21" s="1" t="s">
        <v>104</v>
      </c>
      <c r="J21" s="18"/>
      <c r="K21" s="18"/>
      <c r="L21" s="18"/>
    </row>
    <row r="22" spans="2:12" ht="15" customHeight="1">
      <c r="B22" s="6"/>
      <c r="C22" s="71"/>
      <c r="D22" s="234">
        <f>SUM(D17:D21)</f>
        <v>15647745</v>
      </c>
      <c r="E22" s="15">
        <f>SUM(E17:E21)</f>
        <v>18080072</v>
      </c>
      <c r="F22" s="15">
        <f>SUM(F17:F21)</f>
        <v>21718971.5</v>
      </c>
      <c r="G22" s="15">
        <f>SUM(G17:G21)</f>
        <v>25551608.5</v>
      </c>
    </row>
    <row r="23" spans="2:12" ht="15" customHeight="1">
      <c r="B23" s="55" t="s">
        <v>105</v>
      </c>
      <c r="C23" s="70"/>
      <c r="D23" s="235"/>
      <c r="E23" s="57"/>
      <c r="F23" s="57"/>
      <c r="G23" s="57"/>
    </row>
    <row r="24" spans="2:12" ht="15" customHeight="1">
      <c r="B24" s="6" t="s">
        <v>106</v>
      </c>
      <c r="C24" s="76">
        <v>12</v>
      </c>
      <c r="D24" s="126">
        <v>31</v>
      </c>
      <c r="E24" s="14">
        <f>'Balanço Contab'!D60</f>
        <v>0</v>
      </c>
      <c r="F24" s="14">
        <f>'Balanço Contab'!E60</f>
        <v>0</v>
      </c>
      <c r="G24" s="14">
        <f>'Balanço Contab'!F60</f>
        <v>182949</v>
      </c>
    </row>
    <row r="25" spans="2:12" ht="15" customHeight="1">
      <c r="B25" s="6" t="s">
        <v>20</v>
      </c>
      <c r="C25" s="76">
        <v>13</v>
      </c>
      <c r="D25" s="126">
        <v>11313</v>
      </c>
      <c r="E25" s="14">
        <f>'Balanço Contab'!D74</f>
        <v>4242</v>
      </c>
      <c r="F25" s="14">
        <f>'Balanço Contab'!E74</f>
        <v>23462</v>
      </c>
      <c r="G25" s="14">
        <f>'Balanço Contab'!F74</f>
        <v>0</v>
      </c>
      <c r="H25" s="1" t="s">
        <v>107</v>
      </c>
    </row>
    <row r="26" spans="2:12" ht="15" customHeight="1">
      <c r="B26" s="6" t="str">
        <f>'Balanço Contab'!B22</f>
        <v>Caixa e depósitos bancários</v>
      </c>
      <c r="C26" s="76">
        <v>4</v>
      </c>
      <c r="D26" s="126">
        <v>1461954</v>
      </c>
      <c r="E26" s="14">
        <f>'Balanço Contab'!D22</f>
        <v>2257927</v>
      </c>
      <c r="F26" s="14">
        <f>'Balanço Contab'!E22</f>
        <v>4138413</v>
      </c>
      <c r="G26" s="14">
        <f>'Balanço Contab'!F22</f>
        <v>1799870</v>
      </c>
    </row>
    <row r="27" spans="2:12" ht="15" customHeight="1">
      <c r="B27" s="6"/>
      <c r="C27" s="71"/>
      <c r="D27" s="234">
        <f>SUM(D24:D26)</f>
        <v>1473298</v>
      </c>
      <c r="E27" s="15">
        <f>SUM(E24:E26)</f>
        <v>2262169</v>
      </c>
      <c r="F27" s="15">
        <f>SUM(F24:F26)</f>
        <v>4161875</v>
      </c>
      <c r="G27" s="15">
        <f>SUM(G24:G26)</f>
        <v>1982819</v>
      </c>
    </row>
    <row r="28" spans="2:12" ht="15" customHeight="1" thickBot="1">
      <c r="B28" s="10" t="str">
        <f>'Balanço Contab'!B24</f>
        <v>Total do Ativo</v>
      </c>
      <c r="C28" s="72"/>
      <c r="D28" s="236">
        <f>D15+D22+D27</f>
        <v>42485529</v>
      </c>
      <c r="E28" s="16">
        <f>E15+E22+E27</f>
        <v>43877152</v>
      </c>
      <c r="F28" s="16">
        <f>F15+F22+F27</f>
        <v>47937627</v>
      </c>
      <c r="G28" s="16">
        <f>G15+G22+G27</f>
        <v>52072172</v>
      </c>
      <c r="I28" s="18">
        <f>E28-'Balanço Contab'!D24</f>
        <v>0</v>
      </c>
      <c r="J28" s="18">
        <f>F28-'Balanço Contab'!E24</f>
        <v>0</v>
      </c>
      <c r="K28" s="18">
        <f>G28-'Balanço Contab'!F24</f>
        <v>0</v>
      </c>
    </row>
    <row r="29" spans="2:12" ht="15" customHeight="1" thickTop="1">
      <c r="B29" s="55" t="s">
        <v>108</v>
      </c>
      <c r="C29" s="70"/>
      <c r="D29" s="235"/>
      <c r="E29" s="57"/>
      <c r="F29" s="57"/>
      <c r="G29" s="57"/>
    </row>
    <row r="30" spans="2:12" ht="15" customHeight="1">
      <c r="B30" s="5" t="str">
        <f>'Balanço Contab'!B26</f>
        <v>Capital Próprio</v>
      </c>
      <c r="C30" s="71"/>
      <c r="D30" s="126"/>
      <c r="E30" s="14"/>
      <c r="F30" s="14"/>
      <c r="G30" s="14"/>
    </row>
    <row r="31" spans="2:12" ht="15" customHeight="1">
      <c r="B31" s="6" t="str">
        <f>'Balanço Contab'!B27</f>
        <v>Capital realizado</v>
      </c>
      <c r="C31" s="76">
        <f>'Balanço Contab'!C27</f>
        <v>15</v>
      </c>
      <c r="D31" s="126">
        <v>11740455</v>
      </c>
      <c r="E31" s="14">
        <f>'Balanço Contab'!D27</f>
        <v>11740455</v>
      </c>
      <c r="F31" s="14">
        <f>'Balanço Contab'!E27</f>
        <v>11740455</v>
      </c>
      <c r="G31" s="14">
        <f>'Balanço Contab'!F27</f>
        <v>11740455</v>
      </c>
    </row>
    <row r="32" spans="2:12" ht="15" customHeight="1">
      <c r="B32" s="6" t="str">
        <f>'Balanço Contab'!B28</f>
        <v>Prémios de emissão</v>
      </c>
      <c r="C32" s="76">
        <f>'Balanço Contab'!C28</f>
        <v>17</v>
      </c>
      <c r="D32" s="126">
        <v>959545</v>
      </c>
      <c r="E32" s="14">
        <f>'Balanço Contab'!D28</f>
        <v>959545</v>
      </c>
      <c r="F32" s="14">
        <f>'Balanço Contab'!E28</f>
        <v>959545</v>
      </c>
      <c r="G32" s="14">
        <f>'Balanço Contab'!F28</f>
        <v>959545</v>
      </c>
    </row>
    <row r="33" spans="2:7" ht="15" customHeight="1">
      <c r="B33" s="6" t="str">
        <f>'Balanço Contab'!B29</f>
        <v>Reservas Legais</v>
      </c>
      <c r="C33" s="76">
        <f>'Balanço Contab'!C29</f>
        <v>18</v>
      </c>
      <c r="D33" s="126">
        <v>658278</v>
      </c>
      <c r="E33" s="14">
        <f>'Balanço Contab'!D29</f>
        <v>658278</v>
      </c>
      <c r="F33" s="14">
        <f>'Balanço Contab'!E29</f>
        <v>773685</v>
      </c>
      <c r="G33" s="14">
        <f>'Balanço Contab'!F29</f>
        <v>891080</v>
      </c>
    </row>
    <row r="34" spans="2:7" ht="15" customHeight="1">
      <c r="B34" s="6" t="str">
        <f>'Balanço Contab'!B30</f>
        <v>Outras reservas</v>
      </c>
      <c r="C34" s="76">
        <f>'Balanço Contab'!C30</f>
        <v>16</v>
      </c>
      <c r="D34" s="126">
        <v>4710221</v>
      </c>
      <c r="E34" s="14">
        <f>'Balanço Contab'!D30</f>
        <v>4710221</v>
      </c>
      <c r="F34" s="14">
        <f>'Balanço Contab'!E30</f>
        <v>4710221</v>
      </c>
      <c r="G34" s="14">
        <f>'Balanço Contab'!F30</f>
        <v>4710221</v>
      </c>
    </row>
    <row r="35" spans="2:7" ht="15" customHeight="1">
      <c r="B35" s="6" t="str">
        <f>'Balanço Contab'!B31</f>
        <v>Resultados Transitados</v>
      </c>
      <c r="C35" s="76">
        <f>'Balanço Contab'!C31</f>
        <v>19</v>
      </c>
      <c r="D35" s="126">
        <v>-1804293</v>
      </c>
      <c r="E35" s="14">
        <f>'Balanço Contab'!D31</f>
        <v>-2266539</v>
      </c>
      <c r="F35" s="14">
        <f>'Balanço Contab'!E31</f>
        <v>-73815</v>
      </c>
      <c r="G35" s="14">
        <f>'Balanço Contab'!F31</f>
        <v>2156686</v>
      </c>
    </row>
    <row r="36" spans="2:7" ht="15" customHeight="1">
      <c r="B36" s="6" t="str">
        <f>'Balanço Contab'!B32</f>
        <v>Outras variações no capital próprio</v>
      </c>
      <c r="C36" s="76">
        <f>'Balanço Contab'!C32</f>
        <v>20</v>
      </c>
      <c r="D36" s="126">
        <v>3144447</v>
      </c>
      <c r="E36" s="14">
        <f>'Balanço Contab'!D32</f>
        <v>2482464</v>
      </c>
      <c r="F36" s="14">
        <f>'Balanço Contab'!E32</f>
        <v>1982771</v>
      </c>
      <c r="G36" s="14">
        <f>'Balanço Contab'!F32</f>
        <v>1622563</v>
      </c>
    </row>
    <row r="37" spans="2:7" ht="15" customHeight="1">
      <c r="B37" s="6" t="str">
        <f>'Balanço Contab'!B33</f>
        <v>Resultado liquido do período</v>
      </c>
      <c r="C37" s="76"/>
      <c r="D37" s="126">
        <v>-462246</v>
      </c>
      <c r="E37" s="14">
        <f>'Balanço Contab'!D33</f>
        <v>2308131</v>
      </c>
      <c r="F37" s="14">
        <f>'Balanço Contab'!E33</f>
        <v>2347896</v>
      </c>
      <c r="G37" s="14">
        <f>'Balanço Contab'!F33</f>
        <v>2279250</v>
      </c>
    </row>
    <row r="38" spans="2:7" ht="15" customHeight="1">
      <c r="B38" s="8" t="str">
        <f>'Balanço Contab'!B34</f>
        <v>Total do Capital Próprio</v>
      </c>
      <c r="C38" s="71"/>
      <c r="D38" s="234">
        <f>SUM(D31:D37)</f>
        <v>18946407</v>
      </c>
      <c r="E38" s="15">
        <f>SUM(E31:E37)</f>
        <v>20592555</v>
      </c>
      <c r="F38" s="15">
        <f t="shared" ref="F38:G38" si="1">SUM(F31:F37)</f>
        <v>22440758</v>
      </c>
      <c r="G38" s="15">
        <f t="shared" si="1"/>
        <v>24359800</v>
      </c>
    </row>
    <row r="39" spans="2:7" ht="4.5" customHeight="1">
      <c r="B39" s="8"/>
      <c r="C39" s="71"/>
      <c r="D39" s="237"/>
      <c r="E39" s="27"/>
      <c r="F39" s="27"/>
      <c r="G39" s="27"/>
    </row>
    <row r="40" spans="2:7" ht="15" customHeight="1">
      <c r="B40" s="5" t="str">
        <f>'Balanço Contab'!B37</f>
        <v>Passivo não  corrente</v>
      </c>
      <c r="C40" s="71"/>
      <c r="D40" s="126"/>
      <c r="E40" s="14"/>
      <c r="F40" s="14"/>
      <c r="G40" s="14"/>
    </row>
    <row r="41" spans="2:7" ht="15" customHeight="1">
      <c r="B41" s="6" t="str">
        <f>'Balanço Contab'!B38</f>
        <v>Provisões</v>
      </c>
      <c r="C41" s="76"/>
      <c r="D41" s="126">
        <v>0</v>
      </c>
      <c r="E41" s="14">
        <f>'Balanço Contab'!D38</f>
        <v>0</v>
      </c>
      <c r="F41" s="14">
        <f>'Balanço Contab'!E38</f>
        <v>0</v>
      </c>
      <c r="G41" s="14">
        <f>'Balanço Contab'!F38</f>
        <v>0</v>
      </c>
    </row>
    <row r="42" spans="2:7" ht="15" customHeight="1">
      <c r="B42" s="6" t="str">
        <f>'Balanço Contab'!B39</f>
        <v xml:space="preserve">Financiamentos obtidos </v>
      </c>
      <c r="C42" s="76">
        <f>'Balanço Contab'!C39</f>
        <v>23</v>
      </c>
      <c r="D42" s="126">
        <v>10522437</v>
      </c>
      <c r="E42" s="14">
        <f>'Balanço Contab'!D39</f>
        <v>10408410</v>
      </c>
      <c r="F42" s="14">
        <f>'Balanço Contab'!E39</f>
        <v>9500813</v>
      </c>
      <c r="G42" s="14">
        <f>'Balanço Contab'!F39</f>
        <v>13988727</v>
      </c>
    </row>
    <row r="43" spans="2:7" ht="15" customHeight="1">
      <c r="B43" s="6" t="str">
        <f>'Balanço Contab'!B40</f>
        <v>Outras dívidas a pagar</v>
      </c>
      <c r="C43" s="76">
        <f>'Balanço Contab'!C40</f>
        <v>24</v>
      </c>
      <c r="D43" s="126">
        <v>4032293</v>
      </c>
      <c r="E43" s="14">
        <f>'Balanço Contab'!D40</f>
        <v>3974890</v>
      </c>
      <c r="F43" s="14">
        <f>'Balanço Contab'!E40</f>
        <v>3334245</v>
      </c>
      <c r="G43" s="14">
        <f>'Balanço Contab'!F40</f>
        <v>1761814</v>
      </c>
    </row>
    <row r="44" spans="2:7" ht="15" customHeight="1">
      <c r="B44" s="6"/>
      <c r="C44" s="71"/>
      <c r="D44" s="234">
        <f>+D42+D43</f>
        <v>14554730</v>
      </c>
      <c r="E44" s="15">
        <f>SUM(E41:E43)</f>
        <v>14383300</v>
      </c>
      <c r="F44" s="15">
        <f>SUM(F41:F43)</f>
        <v>12835058</v>
      </c>
      <c r="G44" s="15">
        <f>SUM(G41:G43)</f>
        <v>15750541</v>
      </c>
    </row>
    <row r="45" spans="2:7" ht="15" customHeight="1">
      <c r="B45" s="6"/>
      <c r="C45" s="71"/>
      <c r="D45" s="234">
        <f>SUM(D38+D44)</f>
        <v>33501137</v>
      </c>
      <c r="E45" s="15">
        <f>E38+E44</f>
        <v>34975855</v>
      </c>
      <c r="F45" s="15">
        <f>F38+F44</f>
        <v>35275816</v>
      </c>
      <c r="G45" s="15">
        <f>G38+G44</f>
        <v>40110341</v>
      </c>
    </row>
    <row r="46" spans="2:7" ht="15" customHeight="1">
      <c r="B46" s="55" t="s">
        <v>109</v>
      </c>
      <c r="C46" s="70"/>
      <c r="D46" s="235"/>
      <c r="E46" s="57"/>
      <c r="F46" s="57"/>
      <c r="G46" s="57"/>
    </row>
    <row r="47" spans="2:7" ht="15" customHeight="1">
      <c r="B47" s="6" t="str">
        <f>'Balanço Contab'!B43</f>
        <v>Fornecedores</v>
      </c>
      <c r="C47" s="76">
        <f>'Balanço Contab'!C43</f>
        <v>21</v>
      </c>
      <c r="D47" s="126">
        <v>710998</v>
      </c>
      <c r="E47" s="14">
        <f>'Balanço Contab'!D43</f>
        <v>1415895</v>
      </c>
      <c r="F47" s="14">
        <f>'Balanço Contab'!E43</f>
        <v>633029</v>
      </c>
      <c r="G47" s="14">
        <f>'Balanço Contab'!F43</f>
        <v>721181</v>
      </c>
    </row>
    <row r="48" spans="2:7" ht="15" customHeight="1">
      <c r="B48" s="6" t="str">
        <f>'Balanço Contab'!B44</f>
        <v>Adiantamentos de clientes</v>
      </c>
      <c r="C48" s="76">
        <f>'Balanço Contab'!C44</f>
        <v>22</v>
      </c>
      <c r="D48" s="126">
        <v>288801</v>
      </c>
      <c r="E48" s="14">
        <f>'Balanço Contab'!D44</f>
        <v>174400</v>
      </c>
      <c r="F48" s="14">
        <f>'Balanço Contab'!E44</f>
        <v>1889441</v>
      </c>
      <c r="G48" s="14">
        <f>'Balanço Contab'!F44</f>
        <v>1863058</v>
      </c>
    </row>
    <row r="49" spans="2:11" ht="15" customHeight="1">
      <c r="B49" s="6" t="str">
        <f>'Balanço Contab'!B45</f>
        <v>Estado e Outros Entes Públicos</v>
      </c>
      <c r="C49" s="76">
        <f>'Balanço Contab'!C45</f>
        <v>12</v>
      </c>
      <c r="D49" s="126">
        <f>0+375385+205</f>
        <v>375590</v>
      </c>
      <c r="E49" s="14">
        <f>'Balanço Contab'!J61+'Balanço Contab'!J62+'Balanço Contab'!J63+'Balanço Contab'!J64</f>
        <v>388599</v>
      </c>
      <c r="F49" s="14">
        <f>'Balanço Contab'!K61+'Balanço Contab'!K62+'Balanço Contab'!K63+'Balanço Contab'!K64</f>
        <v>376527</v>
      </c>
      <c r="G49" s="14">
        <f>'Balanço Contab'!L61+'Balanço Contab'!L62+'Balanço Contab'!L63+'Balanço Contab'!L64</f>
        <v>306648</v>
      </c>
      <c r="H49" s="1" t="s">
        <v>110</v>
      </c>
    </row>
    <row r="50" spans="2:11" ht="15" customHeight="1">
      <c r="B50" s="6" t="str">
        <f>'Balanço Contab'!B47</f>
        <v>Outras dívidas a pagar</v>
      </c>
      <c r="C50" s="76">
        <f>'Balanço Contab'!C47</f>
        <v>24</v>
      </c>
      <c r="D50" s="126">
        <v>914970</v>
      </c>
      <c r="E50" s="14">
        <f>'Balanço Contab'!D47</f>
        <v>739384</v>
      </c>
      <c r="F50" s="14">
        <f>'Balanço Contab'!E47</f>
        <v>1304192</v>
      </c>
      <c r="G50" s="14">
        <f>'Balanço Contab'!F47</f>
        <v>1772055</v>
      </c>
      <c r="H50" s="60" t="s">
        <v>111</v>
      </c>
    </row>
    <row r="51" spans="2:11" ht="15" customHeight="1">
      <c r="B51" s="6" t="str">
        <f>'Balanço Contab'!B48</f>
        <v>Diferimentos</v>
      </c>
      <c r="C51" s="76">
        <f>'Balanço Contab'!C48</f>
        <v>14</v>
      </c>
      <c r="D51" s="126">
        <v>33500</v>
      </c>
      <c r="E51" s="14">
        <f>'Balanço Contab'!J83</f>
        <v>93483</v>
      </c>
      <c r="F51" s="14">
        <f>'Balanço Contab'!K83</f>
        <v>308504</v>
      </c>
      <c r="G51" s="14">
        <f>'Balanço Contab'!L83</f>
        <v>97868</v>
      </c>
      <c r="H51" s="60" t="s">
        <v>112</v>
      </c>
    </row>
    <row r="52" spans="2:11" ht="15" customHeight="1">
      <c r="B52" s="6"/>
      <c r="C52" s="71"/>
      <c r="D52" s="234">
        <f>SUM(D47:D51)</f>
        <v>2323859</v>
      </c>
      <c r="E52" s="15">
        <f>SUM(E47:E51)</f>
        <v>2811761</v>
      </c>
      <c r="F52" s="15">
        <f>SUM(F47:F51)</f>
        <v>4511693</v>
      </c>
      <c r="G52" s="15">
        <f>SUM(G47:G51)</f>
        <v>4760810</v>
      </c>
      <c r="H52" s="60"/>
    </row>
    <row r="53" spans="2:11" ht="15" customHeight="1">
      <c r="B53" s="55" t="s">
        <v>113</v>
      </c>
      <c r="C53" s="70"/>
      <c r="D53" s="235"/>
      <c r="E53" s="57"/>
      <c r="F53" s="57"/>
      <c r="G53" s="57"/>
      <c r="H53" s="60"/>
    </row>
    <row r="54" spans="2:11" ht="15" customHeight="1">
      <c r="B54" s="6" t="str">
        <f>'Balanço Contab'!B46</f>
        <v xml:space="preserve">Financiamentos Obtidos </v>
      </c>
      <c r="C54" s="76">
        <f>'Balanço Contab'!C46</f>
        <v>23</v>
      </c>
      <c r="D54" s="126">
        <v>6640967</v>
      </c>
      <c r="E54" s="14">
        <f>'Balanço Contab'!D46</f>
        <v>6052620</v>
      </c>
      <c r="F54" s="14">
        <f>'Balanço Contab'!E46</f>
        <v>8118404</v>
      </c>
      <c r="G54" s="14">
        <f>'Balanço Contab'!F46</f>
        <v>7106798</v>
      </c>
      <c r="H54" s="60"/>
    </row>
    <row r="55" spans="2:11" ht="15" customHeight="1">
      <c r="B55" s="6" t="s">
        <v>106</v>
      </c>
      <c r="C55" s="76">
        <v>12</v>
      </c>
      <c r="D55" s="126">
        <v>94549</v>
      </c>
      <c r="E55" s="14">
        <f>'Balanço Contab'!J60</f>
        <v>36916</v>
      </c>
      <c r="F55" s="14">
        <f>'Balanço Contab'!K60</f>
        <v>31714</v>
      </c>
      <c r="G55" s="14">
        <f>'Balanço Contab'!L60</f>
        <v>94223</v>
      </c>
      <c r="H55" s="60"/>
    </row>
    <row r="56" spans="2:11" ht="15" customHeight="1">
      <c r="B56" s="6"/>
      <c r="C56" s="71"/>
      <c r="D56" s="234">
        <f>SUM(D54:D55)</f>
        <v>6735516</v>
      </c>
      <c r="E56" s="15">
        <f>SUM(E54:E55)</f>
        <v>6089536</v>
      </c>
      <c r="F56" s="15">
        <f>SUM(F54:F55)</f>
        <v>8150118</v>
      </c>
      <c r="G56" s="15">
        <f>SUM(G54:G55)</f>
        <v>7201021</v>
      </c>
    </row>
    <row r="57" spans="2:11" ht="15" customHeight="1">
      <c r="B57" s="8" t="str">
        <f>'Balanço Contab'!B50</f>
        <v>Total do Passivo</v>
      </c>
      <c r="C57" s="71"/>
      <c r="D57" s="234">
        <f>SUM(D44+D52+D56)</f>
        <v>23614105</v>
      </c>
      <c r="E57" s="15">
        <f>E44+E52+E56</f>
        <v>23284597</v>
      </c>
      <c r="F57" s="15">
        <f>F44+F52+F56</f>
        <v>25496869</v>
      </c>
      <c r="G57" s="15">
        <f>G44+G52+G56</f>
        <v>27712372</v>
      </c>
    </row>
    <row r="58" spans="2:11" ht="15" customHeight="1" thickBot="1">
      <c r="B58" s="10" t="str">
        <f>'Balanço Contab'!B51</f>
        <v>Total do Capital Próprio e do Passivo</v>
      </c>
      <c r="C58" s="72"/>
      <c r="D58" s="238">
        <f>D38+D57</f>
        <v>42560512</v>
      </c>
      <c r="E58" s="17">
        <f>E57+E38</f>
        <v>43877152</v>
      </c>
      <c r="F58" s="17">
        <f>F57+F38</f>
        <v>47937627</v>
      </c>
      <c r="G58" s="17">
        <f>G57+G38</f>
        <v>52072172</v>
      </c>
      <c r="I58" s="18">
        <f>E58-'Balanço Contab'!D51</f>
        <v>0</v>
      </c>
      <c r="J58" s="18">
        <f>F58-'Balanço Contab'!E51</f>
        <v>0</v>
      </c>
      <c r="K58" s="18">
        <f>G58-'Balanço Contab'!F51</f>
        <v>0</v>
      </c>
    </row>
    <row r="59" spans="2:11" ht="15" customHeight="1" thickTop="1">
      <c r="C59" s="66"/>
      <c r="D59" s="66"/>
      <c r="E59" s="18"/>
      <c r="F59" s="18"/>
      <c r="G59" s="18"/>
    </row>
    <row r="60" spans="2:11" ht="15" customHeight="1">
      <c r="C60" s="66"/>
      <c r="D60" s="66"/>
      <c r="E60" s="18">
        <f>E58-E28</f>
        <v>0</v>
      </c>
      <c r="F60" s="18">
        <f>F58-F28</f>
        <v>0</v>
      </c>
      <c r="G60" s="18">
        <f>G58-G28</f>
        <v>0</v>
      </c>
    </row>
    <row r="61" spans="2:11" ht="15" customHeight="1">
      <c r="C61" s="66"/>
      <c r="D61" s="66"/>
      <c r="E61" s="18"/>
      <c r="F61" s="18"/>
      <c r="G61" s="18"/>
    </row>
    <row r="62" spans="2:11" ht="15" customHeight="1">
      <c r="B62" s="133" t="s">
        <v>114</v>
      </c>
      <c r="C62" s="67"/>
      <c r="D62" s="67"/>
      <c r="E62" s="4"/>
      <c r="F62" s="4"/>
      <c r="G62" s="134" t="s">
        <v>4</v>
      </c>
    </row>
    <row r="63" spans="2:11" ht="15" customHeight="1">
      <c r="B63" s="317" t="s">
        <v>115</v>
      </c>
      <c r="C63" s="317" t="s">
        <v>6</v>
      </c>
      <c r="D63" s="231"/>
      <c r="E63" s="318" t="s">
        <v>7</v>
      </c>
      <c r="F63" s="318"/>
      <c r="G63" s="318"/>
    </row>
    <row r="64" spans="2:11" ht="15" customHeight="1">
      <c r="B64" s="317"/>
      <c r="C64" s="317"/>
      <c r="D64" s="231"/>
      <c r="E64" s="123">
        <v>2022</v>
      </c>
      <c r="F64" s="123">
        <v>2023</v>
      </c>
      <c r="G64" s="123">
        <v>2024</v>
      </c>
    </row>
    <row r="65" spans="2:7" ht="15" customHeight="1">
      <c r="B65" s="124" t="s">
        <v>108</v>
      </c>
      <c r="C65" s="125"/>
      <c r="D65" s="125"/>
      <c r="E65" s="126">
        <f>+E45</f>
        <v>34975855</v>
      </c>
      <c r="F65" s="126">
        <f>+F45</f>
        <v>35275816</v>
      </c>
      <c r="G65" s="126">
        <f>+G45</f>
        <v>40110341</v>
      </c>
    </row>
    <row r="66" spans="2:7" ht="15" customHeight="1">
      <c r="B66" s="124" t="s">
        <v>98</v>
      </c>
      <c r="C66" s="125"/>
      <c r="D66" s="125"/>
      <c r="E66" s="126">
        <f>+E15</f>
        <v>23534911</v>
      </c>
      <c r="F66" s="126">
        <f>+F15</f>
        <v>22056780.5</v>
      </c>
      <c r="G66" s="126">
        <f>+G15</f>
        <v>24537744.5</v>
      </c>
    </row>
    <row r="67" spans="2:7" ht="15" customHeight="1">
      <c r="B67" s="127" t="s">
        <v>116</v>
      </c>
      <c r="C67" s="128"/>
      <c r="D67" s="128"/>
      <c r="E67" s="129">
        <f>E65-E66</f>
        <v>11440944</v>
      </c>
      <c r="F67" s="129">
        <f>F65-F66</f>
        <v>13219035.5</v>
      </c>
      <c r="G67" s="129">
        <f>G65-G66</f>
        <v>15572596.5</v>
      </c>
    </row>
    <row r="68" spans="2:7" ht="15" customHeight="1">
      <c r="B68" s="124" t="s">
        <v>100</v>
      </c>
      <c r="C68" s="125"/>
      <c r="D68" s="125"/>
      <c r="E68" s="126">
        <f>+E22</f>
        <v>18080072</v>
      </c>
      <c r="F68" s="126">
        <f>+F22</f>
        <v>21718971.5</v>
      </c>
      <c r="G68" s="126">
        <f>+G22</f>
        <v>25551608.5</v>
      </c>
    </row>
    <row r="69" spans="2:7" ht="15" customHeight="1">
      <c r="B69" s="124" t="s">
        <v>109</v>
      </c>
      <c r="C69" s="125"/>
      <c r="D69" s="125"/>
      <c r="E69" s="126">
        <f>+E52</f>
        <v>2811761</v>
      </c>
      <c r="F69" s="126">
        <f>+F52</f>
        <v>4511693</v>
      </c>
      <c r="G69" s="126">
        <f>+G52</f>
        <v>4760810</v>
      </c>
    </row>
    <row r="70" spans="2:7" ht="15" customHeight="1">
      <c r="B70" s="127" t="s">
        <v>117</v>
      </c>
      <c r="C70" s="128"/>
      <c r="D70" s="128"/>
      <c r="E70" s="129">
        <f>E68-E69</f>
        <v>15268311</v>
      </c>
      <c r="F70" s="129">
        <f>F68-F69</f>
        <v>17207278.5</v>
      </c>
      <c r="G70" s="129">
        <f>G68-G69</f>
        <v>20790798.5</v>
      </c>
    </row>
    <row r="71" spans="2:7" ht="15" customHeight="1">
      <c r="B71" s="124" t="s">
        <v>105</v>
      </c>
      <c r="C71" s="125"/>
      <c r="D71" s="125"/>
      <c r="E71" s="126">
        <f>+E27</f>
        <v>2262169</v>
      </c>
      <c r="F71" s="126">
        <f>+F27</f>
        <v>4161875</v>
      </c>
      <c r="G71" s="126">
        <f>+G27</f>
        <v>1982819</v>
      </c>
    </row>
    <row r="72" spans="2:7" ht="15" customHeight="1">
      <c r="B72" s="124" t="s">
        <v>113</v>
      </c>
      <c r="C72" s="125"/>
      <c r="D72" s="125"/>
      <c r="E72" s="126">
        <f>+E56</f>
        <v>6089536</v>
      </c>
      <c r="F72" s="126">
        <f>+F56</f>
        <v>8150118</v>
      </c>
      <c r="G72" s="126">
        <f>+G56</f>
        <v>7201021</v>
      </c>
    </row>
    <row r="73" spans="2:7" ht="15" customHeight="1">
      <c r="B73" s="127" t="s">
        <v>118</v>
      </c>
      <c r="C73" s="128"/>
      <c r="D73" s="128"/>
      <c r="E73" s="129">
        <f>E71-E72</f>
        <v>-3827367</v>
      </c>
      <c r="F73" s="129">
        <f>F71-F72</f>
        <v>-3988243</v>
      </c>
      <c r="G73" s="129">
        <f>G71-G72</f>
        <v>-5218202</v>
      </c>
    </row>
    <row r="74" spans="2:7" ht="15" customHeight="1">
      <c r="B74" s="130" t="s">
        <v>119</v>
      </c>
      <c r="C74" s="131"/>
      <c r="D74" s="131"/>
      <c r="E74" s="132">
        <f>E67-E70</f>
        <v>-3827367</v>
      </c>
      <c r="F74" s="132">
        <f>F67-F70</f>
        <v>-3988243</v>
      </c>
      <c r="G74" s="132">
        <f>G67-G70</f>
        <v>-5218202</v>
      </c>
    </row>
    <row r="75" spans="2:7" ht="15" customHeight="1">
      <c r="E75" s="18"/>
      <c r="F75" s="18"/>
      <c r="G75" s="18"/>
    </row>
    <row r="76" spans="2:7" ht="15" customHeight="1">
      <c r="E76" s="18"/>
      <c r="F76" s="18"/>
      <c r="G76" s="18"/>
    </row>
    <row r="77" spans="2:7" ht="15" customHeight="1">
      <c r="E77" s="18"/>
      <c r="F77" s="18"/>
      <c r="G77" s="18"/>
    </row>
    <row r="78" spans="2:7" ht="15" customHeight="1">
      <c r="E78" s="18"/>
      <c r="F78" s="18"/>
      <c r="G78" s="18"/>
    </row>
    <row r="79" spans="2:7" ht="15" customHeight="1">
      <c r="E79" s="18"/>
      <c r="F79" s="18"/>
      <c r="G79" s="18"/>
    </row>
    <row r="80" spans="2:7" ht="15" customHeight="1">
      <c r="E80" s="18"/>
      <c r="F80" s="18"/>
      <c r="G80" s="18"/>
    </row>
    <row r="81" spans="5:7" ht="15" customHeight="1">
      <c r="E81" s="18"/>
      <c r="F81" s="18"/>
      <c r="G81" s="18"/>
    </row>
    <row r="82" spans="5:7" ht="15" customHeight="1">
      <c r="E82" s="18"/>
      <c r="F82" s="18"/>
      <c r="G82" s="18"/>
    </row>
    <row r="83" spans="5:7" ht="15" customHeight="1">
      <c r="E83" s="18"/>
      <c r="F83" s="18"/>
      <c r="G83" s="18"/>
    </row>
    <row r="84" spans="5:7" ht="15" customHeight="1">
      <c r="E84" s="18"/>
      <c r="F84" s="18"/>
      <c r="G84" s="18"/>
    </row>
    <row r="85" spans="5:7" ht="15" customHeight="1">
      <c r="E85" s="18"/>
      <c r="F85" s="18"/>
      <c r="G85" s="18"/>
    </row>
    <row r="86" spans="5:7" ht="15" customHeight="1">
      <c r="E86" s="18"/>
      <c r="F86" s="18"/>
      <c r="G86" s="18"/>
    </row>
    <row r="87" spans="5:7" ht="15" customHeight="1">
      <c r="E87" s="18"/>
      <c r="F87" s="18"/>
      <c r="G87" s="18"/>
    </row>
    <row r="88" spans="5:7" ht="15" customHeight="1">
      <c r="E88" s="18"/>
      <c r="F88" s="18"/>
      <c r="G88" s="18"/>
    </row>
    <row r="89" spans="5:7" ht="15" customHeight="1">
      <c r="E89" s="18"/>
      <c r="F89" s="18"/>
      <c r="G89" s="18"/>
    </row>
    <row r="90" spans="5:7" ht="15" customHeight="1">
      <c r="E90" s="18"/>
      <c r="F90" s="18"/>
      <c r="G90" s="18"/>
    </row>
    <row r="91" spans="5:7" ht="15" customHeight="1">
      <c r="E91" s="18"/>
      <c r="F91" s="18"/>
      <c r="G91" s="18"/>
    </row>
    <row r="92" spans="5:7" ht="15" customHeight="1">
      <c r="E92" s="18"/>
      <c r="F92" s="18"/>
      <c r="G92" s="18"/>
    </row>
    <row r="93" spans="5:7" ht="15" customHeight="1">
      <c r="E93" s="18"/>
      <c r="F93" s="18"/>
      <c r="G93" s="18"/>
    </row>
    <row r="94" spans="5:7" ht="15" customHeight="1">
      <c r="E94" s="18"/>
      <c r="F94" s="18"/>
      <c r="G94" s="18"/>
    </row>
    <row r="95" spans="5:7" ht="15" customHeight="1">
      <c r="E95" s="18"/>
      <c r="F95" s="18"/>
      <c r="G95" s="18"/>
    </row>
    <row r="96" spans="5:7" ht="15" customHeight="1">
      <c r="E96" s="18"/>
      <c r="F96" s="18"/>
      <c r="G96" s="18"/>
    </row>
    <row r="97" spans="5:7" ht="15" customHeight="1">
      <c r="E97" s="18"/>
      <c r="F97" s="18"/>
      <c r="G97" s="18"/>
    </row>
    <row r="98" spans="5:7" ht="15" customHeight="1">
      <c r="E98" s="18"/>
      <c r="F98" s="18"/>
      <c r="G98" s="18"/>
    </row>
    <row r="99" spans="5:7" ht="15" customHeight="1">
      <c r="E99" s="18"/>
      <c r="F99" s="18"/>
      <c r="G99" s="18"/>
    </row>
    <row r="100" spans="5:7" ht="15" customHeight="1">
      <c r="E100" s="18"/>
      <c r="F100" s="18"/>
      <c r="G100" s="18"/>
    </row>
    <row r="101" spans="5:7" ht="15" customHeight="1">
      <c r="E101" s="18"/>
      <c r="F101" s="18"/>
      <c r="G101" s="18"/>
    </row>
    <row r="102" spans="5:7" ht="15" customHeight="1">
      <c r="E102" s="18"/>
      <c r="F102" s="18"/>
      <c r="G102" s="18"/>
    </row>
    <row r="103" spans="5:7" ht="15" customHeight="1">
      <c r="E103" s="18"/>
      <c r="F103" s="18"/>
      <c r="G103" s="18"/>
    </row>
    <row r="104" spans="5:7" ht="15" customHeight="1">
      <c r="E104" s="18"/>
      <c r="F104" s="18"/>
      <c r="G104" s="18"/>
    </row>
    <row r="105" spans="5:7" ht="15" customHeight="1">
      <c r="E105" s="18"/>
      <c r="F105" s="18"/>
      <c r="G105" s="18"/>
    </row>
    <row r="106" spans="5:7" ht="15" customHeight="1">
      <c r="E106" s="18"/>
      <c r="F106" s="18"/>
      <c r="G106" s="18"/>
    </row>
    <row r="107" spans="5:7" ht="15" customHeight="1">
      <c r="E107" s="18"/>
      <c r="F107" s="18"/>
      <c r="G107" s="18"/>
    </row>
  </sheetData>
  <mergeCells count="6">
    <mergeCell ref="B5:B6"/>
    <mergeCell ref="C5:C6"/>
    <mergeCell ref="E5:G5"/>
    <mergeCell ref="B63:B64"/>
    <mergeCell ref="C63:C64"/>
    <mergeCell ref="E63:G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"/>
  <sheetViews>
    <sheetView zoomScale="76" workbookViewId="0">
      <selection activeCell="B32" sqref="B32"/>
    </sheetView>
  </sheetViews>
  <sheetFormatPr defaultColWidth="9.140625" defaultRowHeight="15" customHeight="1"/>
  <cols>
    <col min="1" max="1" width="9.140625" style="1"/>
    <col min="2" max="2" width="60.28515625" style="1" customWidth="1"/>
    <col min="3" max="3" width="6.5703125" style="1" customWidth="1"/>
    <col min="4" max="6" width="14.5703125" style="18" customWidth="1"/>
    <col min="7" max="7" width="9.140625" style="1"/>
    <col min="8" max="8" width="9.140625" style="1" customWidth="1"/>
    <col min="9" max="16384" width="9.140625" style="1"/>
  </cols>
  <sheetData>
    <row r="2" spans="1:7" ht="15" customHeight="1">
      <c r="A2" s="3" t="s">
        <v>0</v>
      </c>
      <c r="B2" s="3" t="s">
        <v>96</v>
      </c>
    </row>
    <row r="4" spans="1:7" ht="15" customHeight="1">
      <c r="B4" s="3" t="s">
        <v>120</v>
      </c>
      <c r="F4" s="19" t="s">
        <v>4</v>
      </c>
    </row>
    <row r="5" spans="1:7" ht="15" customHeight="1">
      <c r="B5" s="319" t="s">
        <v>121</v>
      </c>
      <c r="C5" s="310" t="s">
        <v>6</v>
      </c>
      <c r="D5" s="309" t="s">
        <v>7</v>
      </c>
      <c r="E5" s="309"/>
      <c r="F5" s="309"/>
    </row>
    <row r="6" spans="1:7" ht="15" customHeight="1">
      <c r="B6" s="320"/>
      <c r="C6" s="310"/>
      <c r="D6" s="9">
        <v>2022</v>
      </c>
      <c r="E6" s="9">
        <v>2023</v>
      </c>
      <c r="F6" s="9">
        <v>2024</v>
      </c>
    </row>
    <row r="7" spans="1:7" ht="15" customHeight="1">
      <c r="B7" s="6" t="s">
        <v>122</v>
      </c>
      <c r="C7" s="65">
        <v>25</v>
      </c>
      <c r="D7" s="14">
        <v>34414527</v>
      </c>
      <c r="E7" s="14">
        <v>36103943</v>
      </c>
      <c r="F7" s="14">
        <v>39540477</v>
      </c>
      <c r="G7" s="1">
        <f>((F7-E7)/E7)*100</f>
        <v>9.5184451183074383</v>
      </c>
    </row>
    <row r="8" spans="1:7" ht="15" customHeight="1">
      <c r="B8" s="6" t="s">
        <v>123</v>
      </c>
      <c r="C8" s="65">
        <v>26</v>
      </c>
      <c r="D8" s="14">
        <v>71600</v>
      </c>
      <c r="E8" s="14">
        <v>42589</v>
      </c>
      <c r="F8" s="14">
        <v>870</v>
      </c>
    </row>
    <row r="9" spans="1:7" ht="15" customHeight="1">
      <c r="B9" s="6" t="s">
        <v>124</v>
      </c>
      <c r="C9" s="65">
        <v>27</v>
      </c>
      <c r="D9" s="14">
        <v>3248</v>
      </c>
      <c r="E9" s="14">
        <v>-59213</v>
      </c>
      <c r="F9" s="14">
        <v>131969</v>
      </c>
    </row>
    <row r="10" spans="1:7" ht="15" customHeight="1">
      <c r="B10" s="6" t="s">
        <v>125</v>
      </c>
      <c r="C10" s="65"/>
      <c r="D10" s="14"/>
      <c r="E10" s="14"/>
      <c r="F10" s="14"/>
    </row>
    <row r="11" spans="1:7" ht="15" customHeight="1">
      <c r="B11" s="6" t="s">
        <v>126</v>
      </c>
      <c r="C11" s="65">
        <v>28</v>
      </c>
      <c r="D11" s="14">
        <v>-9270182</v>
      </c>
      <c r="E11" s="14">
        <v>-9474096</v>
      </c>
      <c r="F11" s="14">
        <v>-10429861</v>
      </c>
    </row>
    <row r="12" spans="1:7" ht="15" customHeight="1">
      <c r="B12" s="6" t="s">
        <v>127</v>
      </c>
      <c r="C12" s="65">
        <v>29</v>
      </c>
      <c r="D12" s="14">
        <v>-10472728</v>
      </c>
      <c r="E12" s="14">
        <v>-10062717</v>
      </c>
      <c r="F12" s="14">
        <v>-13103785</v>
      </c>
    </row>
    <row r="13" spans="1:7" ht="15" customHeight="1">
      <c r="B13" s="6" t="s">
        <v>128</v>
      </c>
      <c r="C13" s="65">
        <v>30</v>
      </c>
      <c r="D13" s="14">
        <v>-8709967</v>
      </c>
      <c r="E13" s="14">
        <v>-9570544</v>
      </c>
      <c r="F13" s="14">
        <v>-10311572</v>
      </c>
    </row>
    <row r="14" spans="1:7" ht="15" customHeight="1">
      <c r="B14" s="6" t="s">
        <v>129</v>
      </c>
      <c r="C14" s="65">
        <v>10</v>
      </c>
      <c r="D14" s="14">
        <v>24000</v>
      </c>
      <c r="E14" s="14">
        <v>-7482</v>
      </c>
      <c r="F14" s="14">
        <v>7482</v>
      </c>
    </row>
    <row r="15" spans="1:7" ht="15" customHeight="1">
      <c r="B15" s="6" t="s">
        <v>130</v>
      </c>
      <c r="C15" s="65">
        <v>11</v>
      </c>
      <c r="D15" s="14">
        <v>-1074082</v>
      </c>
      <c r="E15" s="14">
        <v>-530467</v>
      </c>
      <c r="F15" s="14">
        <v>-403235</v>
      </c>
    </row>
    <row r="16" spans="1:7" ht="15" customHeight="1">
      <c r="B16" s="6" t="s">
        <v>131</v>
      </c>
      <c r="C16" s="65"/>
      <c r="D16" s="14">
        <v>-211</v>
      </c>
      <c r="E16" s="14">
        <v>91</v>
      </c>
      <c r="F16" s="14">
        <v>-58</v>
      </c>
    </row>
    <row r="17" spans="2:12" ht="15" customHeight="1">
      <c r="B17" s="6" t="s">
        <v>132</v>
      </c>
      <c r="C17" s="65"/>
      <c r="D17" s="14"/>
      <c r="E17" s="14"/>
      <c r="F17" s="14"/>
    </row>
    <row r="18" spans="2:12" ht="15" customHeight="1">
      <c r="B18" s="6" t="s">
        <v>133</v>
      </c>
      <c r="C18" s="65">
        <v>31</v>
      </c>
      <c r="D18" s="14">
        <v>1262832</v>
      </c>
      <c r="E18" s="14">
        <v>768393</v>
      </c>
      <c r="F18" s="14">
        <v>677442</v>
      </c>
    </row>
    <row r="19" spans="2:12" ht="15" customHeight="1">
      <c r="B19" s="6" t="s">
        <v>134</v>
      </c>
      <c r="C19" s="65">
        <v>32</v>
      </c>
      <c r="D19" s="14">
        <v>-230470</v>
      </c>
      <c r="E19" s="14">
        <v>-285783</v>
      </c>
      <c r="F19" s="14">
        <v>-346147</v>
      </c>
      <c r="J19" s="18"/>
      <c r="K19" s="18"/>
      <c r="L19" s="18"/>
    </row>
    <row r="20" spans="2:12" ht="15" customHeight="1">
      <c r="B20" s="21" t="s">
        <v>135</v>
      </c>
      <c r="C20" s="65"/>
      <c r="D20" s="15">
        <f>SUM(D7:D19)</f>
        <v>6018567</v>
      </c>
      <c r="E20" s="15">
        <f>SUM(E7:E19)</f>
        <v>6924714</v>
      </c>
      <c r="F20" s="15">
        <f>SUM(F7:F19)</f>
        <v>5763582</v>
      </c>
    </row>
    <row r="21" spans="2:12" ht="15" customHeight="1">
      <c r="B21" s="6" t="s">
        <v>136</v>
      </c>
      <c r="C21" s="65">
        <v>33</v>
      </c>
      <c r="D21" s="14">
        <v>-3102483</v>
      </c>
      <c r="E21" s="14">
        <v>-2957566</v>
      </c>
      <c r="F21" s="14">
        <v>-2761538</v>
      </c>
    </row>
    <row r="22" spans="2:12" ht="15" customHeight="1">
      <c r="B22" s="6" t="s">
        <v>137</v>
      </c>
      <c r="C22" s="65"/>
      <c r="D22" s="14"/>
      <c r="E22" s="14"/>
      <c r="F22" s="14"/>
      <c r="J22" s="18"/>
      <c r="K22" s="18"/>
      <c r="L22" s="18"/>
    </row>
    <row r="23" spans="2:12" ht="15" customHeight="1">
      <c r="B23" s="21" t="s">
        <v>138</v>
      </c>
      <c r="C23" s="65"/>
      <c r="D23" s="15">
        <f>SUM(D20:D22)</f>
        <v>2916084</v>
      </c>
      <c r="E23" s="15">
        <f t="shared" ref="E23:F23" si="0">SUM(E20:E22)</f>
        <v>3967148</v>
      </c>
      <c r="F23" s="15">
        <f t="shared" si="0"/>
        <v>3002044</v>
      </c>
    </row>
    <row r="24" spans="2:12" ht="15" customHeight="1">
      <c r="B24" s="6" t="s">
        <v>139</v>
      </c>
      <c r="C24" s="65">
        <v>34</v>
      </c>
      <c r="D24" s="14">
        <v>1595</v>
      </c>
      <c r="E24" s="14">
        <v>93572</v>
      </c>
      <c r="F24" s="14">
        <v>47799</v>
      </c>
    </row>
    <row r="25" spans="2:12" ht="15" customHeight="1">
      <c r="B25" s="6" t="s">
        <v>140</v>
      </c>
      <c r="C25" s="65"/>
      <c r="D25" s="14"/>
      <c r="E25" s="14"/>
      <c r="F25" s="14"/>
      <c r="H25" s="18"/>
      <c r="I25" s="18"/>
      <c r="J25" s="18"/>
    </row>
    <row r="26" spans="2:12" ht="15" customHeight="1">
      <c r="B26" s="6" t="s">
        <v>141</v>
      </c>
      <c r="C26" s="65">
        <v>35</v>
      </c>
      <c r="D26" s="14">
        <v>-635383</v>
      </c>
      <c r="E26" s="14">
        <v>-972006</v>
      </c>
      <c r="F26" s="14">
        <v>-1151303</v>
      </c>
      <c r="J26" s="18"/>
      <c r="K26" s="18"/>
      <c r="L26" s="18"/>
    </row>
    <row r="27" spans="2:12" ht="15" customHeight="1">
      <c r="B27" s="21" t="s">
        <v>142</v>
      </c>
      <c r="C27" s="65"/>
      <c r="D27" s="15">
        <f>SUM(D23:D26)</f>
        <v>2282296</v>
      </c>
      <c r="E27" s="15">
        <f t="shared" ref="E27:F27" si="1">SUM(E23:E26)</f>
        <v>3088714</v>
      </c>
      <c r="F27" s="15">
        <f t="shared" si="1"/>
        <v>1898540</v>
      </c>
    </row>
    <row r="28" spans="2:12" ht="15" customHeight="1">
      <c r="B28" s="6" t="s">
        <v>143</v>
      </c>
      <c r="C28" s="65"/>
      <c r="D28" s="14">
        <v>25835</v>
      </c>
      <c r="E28" s="14">
        <v>-740818</v>
      </c>
      <c r="F28" s="14">
        <v>380710</v>
      </c>
    </row>
    <row r="29" spans="2:12" ht="15" customHeight="1">
      <c r="B29" s="6" t="s">
        <v>144</v>
      </c>
      <c r="C29" s="65"/>
      <c r="D29" s="14"/>
      <c r="E29" s="14"/>
      <c r="F29" s="14"/>
    </row>
    <row r="30" spans="2:12" ht="15" customHeight="1" thickBot="1">
      <c r="B30" s="22" t="s">
        <v>33</v>
      </c>
      <c r="C30" s="77"/>
      <c r="D30" s="16">
        <f>SUM(D27:D29)</f>
        <v>2308131</v>
      </c>
      <c r="E30" s="16">
        <f t="shared" ref="E30:F30" si="2">SUM(E27:E29)</f>
        <v>2347896</v>
      </c>
      <c r="F30" s="16">
        <f t="shared" si="2"/>
        <v>2279250</v>
      </c>
    </row>
    <row r="31" spans="2:12" ht="15" customHeight="1" thickTop="1">
      <c r="J31" s="18"/>
      <c r="K31" s="18"/>
      <c r="L31" s="18"/>
    </row>
    <row r="32" spans="2:12" ht="15" customHeight="1">
      <c r="D32" s="18">
        <f>D30-'Balanço Contab'!D33</f>
        <v>0</v>
      </c>
      <c r="E32" s="18">
        <f>E30-'Balanço Contab'!E33</f>
        <v>0</v>
      </c>
      <c r="F32" s="18">
        <f>F30-'Balanço Contab'!F33</f>
        <v>0</v>
      </c>
    </row>
  </sheetData>
  <mergeCells count="3">
    <mergeCell ref="D5:F5"/>
    <mergeCell ref="C5:C6"/>
    <mergeCell ref="B5:B6"/>
  </mergeCells>
  <pageMargins left="0.7" right="0.7" top="0.75" bottom="0.75" header="0.3" footer="0.3"/>
  <ignoredErrors>
    <ignoredError sqref="D20:F2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topLeftCell="B1" zoomScaleNormal="100" workbookViewId="0">
      <selection activeCell="B2" sqref="B2"/>
    </sheetView>
  </sheetViews>
  <sheetFormatPr defaultColWidth="9.140625" defaultRowHeight="15" customHeight="1"/>
  <cols>
    <col min="1" max="1" width="9.140625" style="1"/>
    <col min="2" max="2" width="55.140625" style="1" customWidth="1"/>
    <col min="3" max="3" width="6.5703125" style="1" customWidth="1"/>
    <col min="4" max="6" width="14.5703125" style="18" customWidth="1"/>
    <col min="7" max="7" width="9.140625" style="1"/>
    <col min="8" max="8" width="9.140625" style="1" customWidth="1"/>
    <col min="9" max="16384" width="9.140625" style="1"/>
  </cols>
  <sheetData>
    <row r="1" spans="1:12" ht="15" customHeight="1">
      <c r="A1" s="3" t="s">
        <v>0</v>
      </c>
      <c r="B1" s="3" t="s">
        <v>96</v>
      </c>
    </row>
    <row r="2" spans="1:12" ht="15" customHeight="1">
      <c r="B2" s="3" t="s">
        <v>2</v>
      </c>
    </row>
    <row r="4" spans="1:12" ht="15" customHeight="1">
      <c r="B4" s="3" t="s">
        <v>145</v>
      </c>
      <c r="F4" s="19" t="s">
        <v>4</v>
      </c>
    </row>
    <row r="5" spans="1:12" ht="15" customHeight="1">
      <c r="B5" s="319"/>
      <c r="C5" s="310" t="s">
        <v>6</v>
      </c>
      <c r="D5" s="309" t="s">
        <v>7</v>
      </c>
      <c r="E5" s="309"/>
      <c r="F5" s="309"/>
    </row>
    <row r="6" spans="1:12" ht="15" customHeight="1">
      <c r="B6" s="320"/>
      <c r="C6" s="310"/>
      <c r="D6" s="9">
        <v>2022</v>
      </c>
      <c r="E6" s="9">
        <v>2023</v>
      </c>
      <c r="F6" s="9">
        <v>2024</v>
      </c>
    </row>
    <row r="7" spans="1:12" ht="15" customHeight="1">
      <c r="B7" s="23" t="s">
        <v>146</v>
      </c>
      <c r="C7" s="24"/>
      <c r="D7" s="25"/>
      <c r="E7" s="25"/>
      <c r="F7" s="25"/>
    </row>
    <row r="8" spans="1:12" ht="15" customHeight="1">
      <c r="B8" s="6" t="s">
        <v>147</v>
      </c>
      <c r="C8" s="6"/>
      <c r="D8" s="14">
        <v>32022237.5</v>
      </c>
      <c r="E8" s="14">
        <v>35414144</v>
      </c>
      <c r="F8" s="14">
        <v>33078927</v>
      </c>
    </row>
    <row r="9" spans="1:12" ht="15" customHeight="1">
      <c r="B9" s="6" t="s">
        <v>148</v>
      </c>
      <c r="C9" s="6"/>
      <c r="D9" s="14">
        <v>-20413423.5</v>
      </c>
      <c r="E9" s="14">
        <v>-20834983</v>
      </c>
      <c r="F9" s="14">
        <v>-29115362</v>
      </c>
    </row>
    <row r="10" spans="1:12" ht="15" customHeight="1">
      <c r="B10" s="6" t="s">
        <v>149</v>
      </c>
      <c r="C10" s="6"/>
      <c r="D10" s="14">
        <v>-7735883.0999999996</v>
      </c>
      <c r="E10" s="14">
        <v>-8212829</v>
      </c>
      <c r="F10" s="14">
        <v>-5083582</v>
      </c>
      <c r="J10" s="18"/>
      <c r="K10" s="18"/>
      <c r="L10" s="18"/>
    </row>
    <row r="11" spans="1:12" ht="15" customHeight="1">
      <c r="B11" s="21" t="s">
        <v>150</v>
      </c>
      <c r="C11" s="6"/>
      <c r="D11" s="15">
        <f>SUM(D8:D10)</f>
        <v>3872930.9000000004</v>
      </c>
      <c r="E11" s="15">
        <f t="shared" ref="E11:F11" si="0">SUM(E8:E10)</f>
        <v>6366332</v>
      </c>
      <c r="F11" s="15">
        <f t="shared" si="0"/>
        <v>-1120017</v>
      </c>
    </row>
    <row r="12" spans="1:12" ht="15" customHeight="1">
      <c r="B12" s="6" t="s">
        <v>151</v>
      </c>
      <c r="C12" s="6"/>
      <c r="D12" s="14"/>
      <c r="E12" s="14"/>
      <c r="F12" s="14"/>
    </row>
    <row r="13" spans="1:12" ht="15" customHeight="1">
      <c r="B13" s="6" t="s">
        <v>152</v>
      </c>
      <c r="C13" s="6"/>
      <c r="D13" s="14">
        <v>-14353</v>
      </c>
      <c r="E13" s="14">
        <v>-36916</v>
      </c>
      <c r="F13" s="14">
        <v>-31714</v>
      </c>
    </row>
    <row r="14" spans="1:12" ht="15" customHeight="1">
      <c r="B14" s="6" t="s">
        <v>153</v>
      </c>
      <c r="C14" s="6"/>
      <c r="D14" s="14">
        <v>-890155</v>
      </c>
      <c r="E14" s="14">
        <v>-1479222</v>
      </c>
      <c r="F14" s="14">
        <v>-987583</v>
      </c>
      <c r="J14" s="18"/>
      <c r="K14" s="18"/>
      <c r="L14" s="18"/>
    </row>
    <row r="15" spans="1:12" ht="15" customHeight="1">
      <c r="B15" s="21" t="s">
        <v>154</v>
      </c>
      <c r="C15" s="6"/>
      <c r="D15" s="15">
        <f>SUM(D11:D14)</f>
        <v>2968422.9000000004</v>
      </c>
      <c r="E15" s="15">
        <f t="shared" ref="E15:F15" si="1">SUM(E11:E14)</f>
        <v>4850194</v>
      </c>
      <c r="F15" s="15">
        <f t="shared" si="1"/>
        <v>-2139314</v>
      </c>
    </row>
    <row r="16" spans="1:12" ht="15" customHeight="1">
      <c r="B16" s="6"/>
      <c r="C16" s="6"/>
      <c r="D16" s="14"/>
      <c r="E16" s="14"/>
      <c r="F16" s="14"/>
    </row>
    <row r="17" spans="2:12" ht="15" customHeight="1">
      <c r="B17" s="5" t="s">
        <v>155</v>
      </c>
      <c r="C17" s="6"/>
      <c r="D17" s="14"/>
      <c r="E17" s="14"/>
      <c r="F17" s="14"/>
    </row>
    <row r="18" spans="2:12" ht="15" customHeight="1">
      <c r="B18" s="6" t="s">
        <v>156</v>
      </c>
      <c r="C18" s="6"/>
      <c r="D18" s="14"/>
      <c r="E18" s="14"/>
      <c r="F18" s="14"/>
    </row>
    <row r="19" spans="2:12" ht="15" customHeight="1">
      <c r="B19" s="6" t="s">
        <v>157</v>
      </c>
      <c r="C19" s="6"/>
      <c r="D19" s="14">
        <v>-677259</v>
      </c>
      <c r="E19" s="14">
        <v>-1361396</v>
      </c>
      <c r="F19" s="14">
        <v>-2496379</v>
      </c>
    </row>
    <row r="20" spans="2:12" ht="15" customHeight="1">
      <c r="B20" s="6" t="s">
        <v>158</v>
      </c>
      <c r="C20" s="6"/>
      <c r="D20" s="14"/>
      <c r="E20" s="14"/>
      <c r="F20" s="14"/>
    </row>
    <row r="21" spans="2:12" ht="15" customHeight="1">
      <c r="B21" s="6" t="s">
        <v>159</v>
      </c>
      <c r="C21" s="6"/>
      <c r="D21" s="14"/>
      <c r="E21" s="14"/>
      <c r="F21" s="14"/>
    </row>
    <row r="22" spans="2:12" ht="15" customHeight="1">
      <c r="B22" s="6" t="s">
        <v>160</v>
      </c>
      <c r="C22" s="6"/>
      <c r="D22" s="14"/>
      <c r="E22" s="14"/>
      <c r="F22" s="14"/>
    </row>
    <row r="23" spans="2:12" ht="15" customHeight="1">
      <c r="B23" s="6" t="s">
        <v>161</v>
      </c>
      <c r="C23" s="6"/>
      <c r="D23" s="14"/>
      <c r="E23" s="14"/>
      <c r="F23" s="14"/>
    </row>
    <row r="24" spans="2:12" ht="15" customHeight="1">
      <c r="B24" s="6"/>
      <c r="C24" s="6"/>
      <c r="D24" s="14"/>
      <c r="E24" s="14"/>
      <c r="F24" s="14"/>
    </row>
    <row r="25" spans="2:12" ht="15" customHeight="1">
      <c r="B25" s="6" t="s">
        <v>162</v>
      </c>
      <c r="C25" s="6"/>
      <c r="D25" s="14"/>
      <c r="E25" s="14"/>
      <c r="F25" s="14"/>
    </row>
    <row r="26" spans="2:12" ht="15" customHeight="1">
      <c r="B26" s="6" t="s">
        <v>157</v>
      </c>
      <c r="C26" s="6"/>
      <c r="D26" s="14">
        <v>216000</v>
      </c>
      <c r="E26" s="14"/>
      <c r="F26" s="14"/>
    </row>
    <row r="27" spans="2:12" ht="15" customHeight="1">
      <c r="B27" s="6" t="s">
        <v>158</v>
      </c>
      <c r="C27" s="6"/>
      <c r="D27" s="14"/>
      <c r="E27" s="14"/>
      <c r="F27" s="14"/>
    </row>
    <row r="28" spans="2:12" ht="15" customHeight="1">
      <c r="B28" s="6" t="s">
        <v>159</v>
      </c>
      <c r="C28" s="6"/>
      <c r="D28" s="14">
        <v>99</v>
      </c>
      <c r="E28" s="14"/>
      <c r="F28" s="14"/>
    </row>
    <row r="29" spans="2:12" ht="15" customHeight="1">
      <c r="B29" s="6" t="s">
        <v>160</v>
      </c>
      <c r="C29" s="6"/>
      <c r="D29" s="14"/>
      <c r="E29" s="14"/>
      <c r="F29" s="14"/>
    </row>
    <row r="30" spans="2:12" ht="15" customHeight="1">
      <c r="B30" s="6" t="s">
        <v>161</v>
      </c>
      <c r="C30" s="6"/>
      <c r="D30" s="14">
        <v>693</v>
      </c>
      <c r="E30" s="14">
        <v>611</v>
      </c>
      <c r="F30" s="14"/>
    </row>
    <row r="31" spans="2:12" ht="15" customHeight="1">
      <c r="B31" s="6" t="s">
        <v>163</v>
      </c>
      <c r="C31" s="6"/>
      <c r="D31" s="14"/>
      <c r="E31" s="14"/>
      <c r="F31" s="14"/>
    </row>
    <row r="32" spans="2:12" ht="15" customHeight="1">
      <c r="B32" s="6" t="s">
        <v>164</v>
      </c>
      <c r="C32" s="6"/>
      <c r="D32" s="14"/>
      <c r="E32" s="14"/>
      <c r="F32" s="14"/>
      <c r="J32" s="18"/>
      <c r="K32" s="18"/>
      <c r="L32" s="18"/>
    </row>
    <row r="33" spans="2:6" ht="15" customHeight="1">
      <c r="B33" s="21" t="s">
        <v>165</v>
      </c>
      <c r="C33" s="6"/>
      <c r="D33" s="15">
        <f>SUM(D19:D32)</f>
        <v>-460467</v>
      </c>
      <c r="E33" s="15">
        <f t="shared" ref="E33:F33" si="2">SUM(E19:E32)</f>
        <v>-1360785</v>
      </c>
      <c r="F33" s="15">
        <f t="shared" si="2"/>
        <v>-2496379</v>
      </c>
    </row>
    <row r="34" spans="2:6" ht="15" customHeight="1">
      <c r="B34" s="6"/>
      <c r="C34" s="6"/>
      <c r="D34" s="14"/>
      <c r="E34" s="14"/>
      <c r="F34" s="14"/>
    </row>
    <row r="35" spans="2:6" ht="15" customHeight="1">
      <c r="B35" s="5" t="s">
        <v>166</v>
      </c>
      <c r="C35" s="6"/>
      <c r="D35" s="14"/>
      <c r="E35" s="14"/>
      <c r="F35" s="14"/>
    </row>
    <row r="36" spans="2:6" ht="15" customHeight="1">
      <c r="B36" s="6" t="s">
        <v>162</v>
      </c>
      <c r="C36" s="6"/>
      <c r="D36" s="14"/>
      <c r="E36" s="14"/>
      <c r="F36" s="14"/>
    </row>
    <row r="37" spans="2:6" ht="15" customHeight="1">
      <c r="B37" s="6" t="s">
        <v>167</v>
      </c>
      <c r="C37" s="6"/>
      <c r="D37" s="14">
        <v>9560728</v>
      </c>
      <c r="E37" s="14">
        <v>8828515</v>
      </c>
      <c r="F37" s="14">
        <v>34670956.5</v>
      </c>
    </row>
    <row r="38" spans="2:6" ht="15" customHeight="1">
      <c r="B38" s="6" t="s">
        <v>168</v>
      </c>
      <c r="C38" s="6"/>
      <c r="D38" s="14"/>
      <c r="E38" s="14"/>
      <c r="F38" s="14"/>
    </row>
    <row r="39" spans="2:6" ht="15" customHeight="1">
      <c r="B39" s="6" t="s">
        <v>169</v>
      </c>
      <c r="C39" s="6"/>
      <c r="D39" s="14"/>
      <c r="E39" s="14"/>
      <c r="F39" s="14"/>
    </row>
    <row r="40" spans="2:6" ht="15" customHeight="1">
      <c r="B40" s="6" t="s">
        <v>170</v>
      </c>
      <c r="C40" s="6"/>
      <c r="D40" s="14"/>
      <c r="E40" s="14"/>
      <c r="F40" s="14"/>
    </row>
    <row r="41" spans="2:6" ht="15" customHeight="1">
      <c r="B41" s="6" t="s">
        <v>171</v>
      </c>
      <c r="C41" s="6"/>
      <c r="D41" s="14"/>
      <c r="E41" s="14"/>
      <c r="F41" s="14"/>
    </row>
    <row r="42" spans="2:6" ht="15" customHeight="1">
      <c r="B42" s="6" t="s">
        <v>172</v>
      </c>
      <c r="C42" s="6"/>
      <c r="D42" s="14"/>
      <c r="E42" s="14"/>
      <c r="F42" s="14"/>
    </row>
    <row r="43" spans="2:6" ht="15" customHeight="1">
      <c r="B43" s="6"/>
      <c r="C43" s="6"/>
      <c r="D43" s="14"/>
      <c r="E43" s="14"/>
      <c r="F43" s="14"/>
    </row>
    <row r="44" spans="2:6" ht="15" customHeight="1">
      <c r="B44" s="6" t="s">
        <v>156</v>
      </c>
      <c r="C44" s="6"/>
      <c r="D44" s="14"/>
      <c r="E44" s="14"/>
      <c r="F44" s="14"/>
    </row>
    <row r="45" spans="2:6" ht="15" customHeight="1">
      <c r="B45" s="6" t="s">
        <v>167</v>
      </c>
      <c r="C45" s="6"/>
      <c r="D45" s="14">
        <v>-10675529</v>
      </c>
      <c r="E45" s="14">
        <v>-9433377</v>
      </c>
      <c r="F45" s="14">
        <v>-31319779</v>
      </c>
    </row>
    <row r="46" spans="2:6" ht="15" customHeight="1">
      <c r="B46" s="6" t="s">
        <v>173</v>
      </c>
      <c r="C46" s="6"/>
      <c r="D46" s="14">
        <v>-597182</v>
      </c>
      <c r="E46" s="14">
        <v>-1004232</v>
      </c>
      <c r="F46" s="14">
        <v>-1054027</v>
      </c>
    </row>
    <row r="47" spans="2:6" ht="15" customHeight="1">
      <c r="B47" s="6" t="s">
        <v>164</v>
      </c>
      <c r="C47" s="6"/>
      <c r="D47" s="14"/>
      <c r="E47" s="14"/>
      <c r="F47" s="14"/>
    </row>
    <row r="48" spans="2:6" ht="15" customHeight="1">
      <c r="B48" s="6" t="s">
        <v>174</v>
      </c>
      <c r="C48" s="6"/>
      <c r="D48" s="14"/>
      <c r="E48" s="14"/>
      <c r="F48" s="14"/>
    </row>
    <row r="49" spans="2:12" ht="15" customHeight="1">
      <c r="B49" s="6" t="s">
        <v>175</v>
      </c>
      <c r="C49" s="6"/>
      <c r="D49" s="14"/>
      <c r="E49" s="14"/>
      <c r="F49" s="14"/>
    </row>
    <row r="50" spans="2:12" ht="15" customHeight="1">
      <c r="B50" s="6" t="s">
        <v>176</v>
      </c>
      <c r="C50" s="6"/>
      <c r="D50" s="14"/>
      <c r="E50" s="14"/>
      <c r="F50" s="14"/>
      <c r="J50" s="18"/>
      <c r="K50" s="18"/>
      <c r="L50" s="18"/>
    </row>
    <row r="51" spans="2:12" ht="15" customHeight="1">
      <c r="B51" s="21" t="s">
        <v>177</v>
      </c>
      <c r="C51" s="6"/>
      <c r="D51" s="15">
        <f>SUM(D37:D50)</f>
        <v>-1711983</v>
      </c>
      <c r="E51" s="15">
        <f t="shared" ref="E51:F51" si="3">SUM(E37:E50)</f>
        <v>-1609094</v>
      </c>
      <c r="F51" s="15">
        <f t="shared" si="3"/>
        <v>2297150.5</v>
      </c>
    </row>
    <row r="52" spans="2:12" ht="15" customHeight="1">
      <c r="B52" s="6"/>
      <c r="C52" s="6"/>
      <c r="D52" s="14"/>
      <c r="E52" s="14"/>
      <c r="F52" s="14"/>
    </row>
    <row r="53" spans="2:12" ht="15" customHeight="1">
      <c r="B53" s="8" t="s">
        <v>178</v>
      </c>
      <c r="C53" s="8"/>
      <c r="D53" s="15">
        <f>D15+D33+D51</f>
        <v>795972.90000000037</v>
      </c>
      <c r="E53" s="15">
        <f t="shared" ref="E53:F53" si="4">E15+E33+E51</f>
        <v>1880315</v>
      </c>
      <c r="F53" s="15">
        <f t="shared" si="4"/>
        <v>-2338542.5</v>
      </c>
    </row>
    <row r="54" spans="2:12" ht="15" customHeight="1">
      <c r="B54" s="6" t="s">
        <v>179</v>
      </c>
      <c r="C54" s="6"/>
      <c r="D54" s="14"/>
      <c r="E54" s="14">
        <v>171</v>
      </c>
      <c r="F54" s="14"/>
    </row>
    <row r="55" spans="2:12" ht="15" customHeight="1">
      <c r="B55" s="8" t="s">
        <v>180</v>
      </c>
      <c r="C55" s="8"/>
      <c r="D55" s="15">
        <v>1461954</v>
      </c>
      <c r="E55" s="15">
        <v>2257926.9000000004</v>
      </c>
      <c r="F55" s="15">
        <v>4138412.9000000004</v>
      </c>
    </row>
    <row r="56" spans="2:12" ht="15" customHeight="1" thickBot="1">
      <c r="B56" s="10" t="s">
        <v>181</v>
      </c>
      <c r="C56" s="10"/>
      <c r="D56" s="16">
        <f>SUM(D53:D55)</f>
        <v>2257926.9000000004</v>
      </c>
      <c r="E56" s="16">
        <f t="shared" ref="E56:F56" si="5">SUM(E53:E55)</f>
        <v>4138412.9000000004</v>
      </c>
      <c r="F56" s="16">
        <f t="shared" si="5"/>
        <v>1799870.4000000004</v>
      </c>
    </row>
    <row r="57" spans="2:12" ht="15" customHeight="1" thickTop="1"/>
    <row r="58" spans="2:12" ht="15" customHeight="1">
      <c r="D58" s="18">
        <f>D56-'Balanço Contab'!D22</f>
        <v>-9.999999962747097E-2</v>
      </c>
      <c r="E58" s="18">
        <f>E56-'Balanço Contab'!E22</f>
        <v>-9.999999962747097E-2</v>
      </c>
      <c r="F58" s="18">
        <f>F56-'Balanço Contab'!F22</f>
        <v>0.40000000037252903</v>
      </c>
      <c r="J58" s="18"/>
      <c r="K58" s="18"/>
      <c r="L58" s="18"/>
    </row>
    <row r="59" spans="2:12" ht="15" customHeight="1">
      <c r="D59" s="20"/>
      <c r="E59" s="20"/>
      <c r="F59" s="20"/>
    </row>
    <row r="61" spans="2:12" ht="15" customHeight="1">
      <c r="D61" s="20"/>
      <c r="E61" s="20"/>
      <c r="F61" s="20"/>
    </row>
    <row r="62" spans="2:12" ht="15" customHeight="1">
      <c r="D62" s="20"/>
      <c r="E62" s="20"/>
      <c r="F62" s="20"/>
    </row>
  </sheetData>
  <mergeCells count="3">
    <mergeCell ref="D5:F5"/>
    <mergeCell ref="B5:B6"/>
    <mergeCell ref="C5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M86"/>
  <sheetViews>
    <sheetView topLeftCell="AC1" zoomScale="71" workbookViewId="0">
      <selection activeCell="AP36" sqref="AP36"/>
    </sheetView>
  </sheetViews>
  <sheetFormatPr defaultColWidth="9.140625" defaultRowHeight="15" customHeight="1"/>
  <cols>
    <col min="1" max="1" width="9.140625" style="1"/>
    <col min="2" max="2" width="60.28515625" style="1" customWidth="1"/>
    <col min="3" max="3" width="6.28515625" style="1" customWidth="1"/>
    <col min="4" max="8" width="14.5703125" style="1" customWidth="1"/>
    <col min="9" max="10" width="9.140625" style="1"/>
    <col min="11" max="11" width="60.28515625" style="1" customWidth="1"/>
    <col min="12" max="12" width="6.28515625" style="1" customWidth="1"/>
    <col min="13" max="13" width="14.5703125" style="1" customWidth="1"/>
    <col min="14" max="14" width="7.140625" style="1" customWidth="1"/>
    <col min="15" max="15" width="14.5703125" style="1" customWidth="1"/>
    <col min="16" max="16" width="7.140625" style="1" customWidth="1"/>
    <col min="17" max="17" width="14.5703125" style="1" customWidth="1"/>
    <col min="18" max="18" width="7" style="1" customWidth="1"/>
    <col min="19" max="20" width="9.140625" style="1"/>
    <col min="21" max="21" width="60.28515625" style="1" customWidth="1"/>
    <col min="22" max="22" width="6.28515625" style="1" customWidth="1"/>
    <col min="23" max="23" width="14.5703125" style="1" customWidth="1"/>
    <col min="24" max="24" width="7" style="1" customWidth="1"/>
    <col min="25" max="25" width="14.5703125" style="1" customWidth="1"/>
    <col min="26" max="26" width="7.42578125" style="1" customWidth="1"/>
    <col min="27" max="27" width="14.5703125" style="1" customWidth="1"/>
    <col min="28" max="28" width="7" style="1" customWidth="1"/>
    <col min="29" max="30" width="9.140625" style="1"/>
    <col min="31" max="31" width="60.28515625" style="1" customWidth="1"/>
    <col min="32" max="32" width="6.28515625" style="1" customWidth="1"/>
    <col min="33" max="33" width="14.5703125" style="1" customWidth="1"/>
    <col min="34" max="34" width="7" style="1" customWidth="1"/>
    <col min="35" max="35" width="14.5703125" style="1" customWidth="1"/>
    <col min="36" max="36" width="7" style="1" customWidth="1"/>
    <col min="37" max="37" width="14.5703125" style="1" customWidth="1"/>
    <col min="38" max="38" width="7" style="1" customWidth="1"/>
    <col min="39" max="16384" width="9.140625" style="1"/>
  </cols>
  <sheetData>
    <row r="2" spans="1:38" ht="15" customHeight="1">
      <c r="A2" s="3" t="s">
        <v>0</v>
      </c>
      <c r="B2" s="3" t="s">
        <v>96</v>
      </c>
    </row>
    <row r="4" spans="1:38" ht="15" customHeight="1">
      <c r="B4" s="3" t="s">
        <v>3</v>
      </c>
      <c r="D4" s="121" t="s">
        <v>182</v>
      </c>
      <c r="H4" s="12" t="s">
        <v>183</v>
      </c>
      <c r="K4" s="3" t="s">
        <v>3</v>
      </c>
      <c r="R4" s="12" t="s">
        <v>184</v>
      </c>
      <c r="U4" s="3" t="s">
        <v>3</v>
      </c>
      <c r="AB4" s="12" t="s">
        <v>185</v>
      </c>
      <c r="AE4" s="3" t="s">
        <v>3</v>
      </c>
      <c r="AL4" s="12" t="s">
        <v>186</v>
      </c>
    </row>
    <row r="5" spans="1:38" ht="15" customHeight="1">
      <c r="B5" s="310" t="s">
        <v>5</v>
      </c>
      <c r="C5" s="310" t="s">
        <v>6</v>
      </c>
      <c r="D5" s="309" t="s">
        <v>7</v>
      </c>
      <c r="E5" s="309"/>
      <c r="F5" s="309"/>
      <c r="G5" s="321" t="s">
        <v>187</v>
      </c>
      <c r="H5" s="321"/>
      <c r="K5" s="310" t="s">
        <v>5</v>
      </c>
      <c r="L5" s="310" t="s">
        <v>6</v>
      </c>
      <c r="M5" s="322">
        <v>2022</v>
      </c>
      <c r="N5" s="323"/>
      <c r="O5" s="322">
        <v>2023</v>
      </c>
      <c r="P5" s="323"/>
      <c r="Q5" s="322">
        <v>2024</v>
      </c>
      <c r="R5" s="323"/>
      <c r="U5" s="310" t="s">
        <v>5</v>
      </c>
      <c r="V5" s="310" t="s">
        <v>6</v>
      </c>
      <c r="W5" s="322">
        <v>2022</v>
      </c>
      <c r="X5" s="323"/>
      <c r="Y5" s="322">
        <v>2023</v>
      </c>
      <c r="Z5" s="323"/>
      <c r="AA5" s="322">
        <v>2024</v>
      </c>
      <c r="AB5" s="323"/>
      <c r="AE5" s="310" t="s">
        <v>5</v>
      </c>
      <c r="AF5" s="310" t="s">
        <v>6</v>
      </c>
      <c r="AG5" s="322">
        <v>2022</v>
      </c>
      <c r="AH5" s="323"/>
      <c r="AI5" s="322">
        <v>2023</v>
      </c>
      <c r="AJ5" s="323"/>
      <c r="AK5" s="322">
        <v>2024</v>
      </c>
      <c r="AL5" s="323"/>
    </row>
    <row r="6" spans="1:38" ht="15" customHeight="1">
      <c r="B6" s="310"/>
      <c r="C6" s="310"/>
      <c r="D6" s="9">
        <v>2022</v>
      </c>
      <c r="E6" s="9">
        <v>2023</v>
      </c>
      <c r="F6" s="9">
        <v>2024</v>
      </c>
      <c r="G6" s="26" t="s">
        <v>188</v>
      </c>
      <c r="H6" s="26" t="s">
        <v>189</v>
      </c>
      <c r="K6" s="310"/>
      <c r="L6" s="310"/>
      <c r="M6" s="9" t="s">
        <v>190</v>
      </c>
      <c r="N6" s="9" t="s">
        <v>191</v>
      </c>
      <c r="O6" s="9" t="s">
        <v>190</v>
      </c>
      <c r="P6" s="9" t="s">
        <v>191</v>
      </c>
      <c r="Q6" s="9" t="s">
        <v>190</v>
      </c>
      <c r="R6" s="9" t="s">
        <v>191</v>
      </c>
      <c r="U6" s="310"/>
      <c r="V6" s="310"/>
      <c r="W6" s="9" t="s">
        <v>190</v>
      </c>
      <c r="X6" s="9" t="s">
        <v>192</v>
      </c>
      <c r="Y6" s="9" t="s">
        <v>190</v>
      </c>
      <c r="Z6" s="9" t="s">
        <v>192</v>
      </c>
      <c r="AA6" s="9" t="s">
        <v>190</v>
      </c>
      <c r="AB6" s="9" t="s">
        <v>192</v>
      </c>
      <c r="AE6" s="310"/>
      <c r="AF6" s="310"/>
      <c r="AG6" s="9" t="s">
        <v>190</v>
      </c>
      <c r="AH6" s="9" t="s">
        <v>193</v>
      </c>
      <c r="AI6" s="9" t="s">
        <v>190</v>
      </c>
      <c r="AJ6" s="9" t="s">
        <v>193</v>
      </c>
      <c r="AK6" s="9" t="s">
        <v>190</v>
      </c>
      <c r="AL6" s="9" t="s">
        <v>193</v>
      </c>
    </row>
    <row r="7" spans="1:38" ht="15" customHeight="1">
      <c r="B7" s="23" t="str">
        <f>'Balanço Contab'!B7</f>
        <v>ATIVO</v>
      </c>
      <c r="C7" s="24"/>
      <c r="D7" s="24"/>
      <c r="E7" s="24"/>
      <c r="F7" s="24"/>
      <c r="G7" s="30"/>
      <c r="H7" s="30"/>
      <c r="K7" s="23" t="str">
        <f>B7</f>
        <v>ATIVO</v>
      </c>
      <c r="L7" s="24"/>
      <c r="M7" s="24"/>
      <c r="N7" s="30"/>
      <c r="O7" s="24"/>
      <c r="P7" s="30"/>
      <c r="Q7" s="24"/>
      <c r="R7" s="30"/>
      <c r="U7" s="23" t="str">
        <f>K7</f>
        <v>ATIVO</v>
      </c>
      <c r="V7" s="24"/>
      <c r="W7" s="24"/>
      <c r="X7" s="44"/>
      <c r="Y7" s="24"/>
      <c r="Z7" s="44"/>
      <c r="AA7" s="24"/>
      <c r="AB7" s="44"/>
      <c r="AE7" s="23" t="str">
        <f>U7</f>
        <v>ATIVO</v>
      </c>
      <c r="AF7" s="24"/>
      <c r="AG7" s="24"/>
      <c r="AH7" s="44"/>
      <c r="AI7" s="24"/>
      <c r="AJ7" s="44"/>
      <c r="AK7" s="24"/>
      <c r="AL7" s="44"/>
    </row>
    <row r="8" spans="1:38" ht="15" customHeight="1">
      <c r="B8" s="5" t="str">
        <f>'Balanço Contab'!B8</f>
        <v>Ativo não corrente</v>
      </c>
      <c r="C8" s="6"/>
      <c r="D8" s="6"/>
      <c r="E8" s="6"/>
      <c r="F8" s="6"/>
      <c r="G8" s="31"/>
      <c r="H8" s="31"/>
      <c r="K8" s="5" t="str">
        <f t="shared" ref="K8:K24" si="0">B8</f>
        <v>Ativo não corrente</v>
      </c>
      <c r="L8" s="6"/>
      <c r="M8" s="6"/>
      <c r="N8" s="31"/>
      <c r="O8" s="6"/>
      <c r="P8" s="31"/>
      <c r="Q8" s="6"/>
      <c r="R8" s="31"/>
      <c r="U8" s="5" t="str">
        <f t="shared" ref="U8:U24" si="1">K8</f>
        <v>Ativo não corrente</v>
      </c>
      <c r="V8" s="6"/>
      <c r="W8" s="6"/>
      <c r="X8" s="45"/>
      <c r="Y8" s="6"/>
      <c r="Z8" s="45"/>
      <c r="AA8" s="6"/>
      <c r="AB8" s="45"/>
      <c r="AE8" s="5" t="str">
        <f t="shared" ref="AE8:AE24" si="2">U8</f>
        <v>Ativo não corrente</v>
      </c>
      <c r="AF8" s="6"/>
      <c r="AG8" s="6"/>
      <c r="AH8" s="45"/>
      <c r="AI8" s="6"/>
      <c r="AJ8" s="45"/>
      <c r="AK8" s="6"/>
      <c r="AL8" s="45"/>
    </row>
    <row r="9" spans="1:38" ht="15" customHeight="1">
      <c r="B9" s="6" t="str">
        <f>'Balanço Contab'!B9</f>
        <v>Ativos fixos tangíveis</v>
      </c>
      <c r="C9" s="6"/>
      <c r="D9" s="14">
        <f>'Balanço Contab'!D9</f>
        <v>19459800</v>
      </c>
      <c r="E9" s="14">
        <f>'Balanço Contab'!E9</f>
        <v>18666571.5</v>
      </c>
      <c r="F9" s="14">
        <f>'Balanço Contab'!F9</f>
        <v>20729865.5</v>
      </c>
      <c r="G9" s="32">
        <f>E9-D9</f>
        <v>-793228.5</v>
      </c>
      <c r="H9" s="32">
        <f>F9-E9</f>
        <v>2063294</v>
      </c>
      <c r="K9" s="6" t="str">
        <f>B9</f>
        <v>Ativos fixos tangíveis</v>
      </c>
      <c r="L9" s="6"/>
      <c r="M9" s="14">
        <f>D9</f>
        <v>19459800</v>
      </c>
      <c r="N9" s="39">
        <f t="shared" ref="N9:N24" si="3">M9/$M$24</f>
        <v>0.4435064518316959</v>
      </c>
      <c r="O9" s="14">
        <f>E9</f>
        <v>18666571.5</v>
      </c>
      <c r="P9" s="39">
        <f t="shared" ref="P9:P24" si="4">O9/$O$24</f>
        <v>0.38939289798387394</v>
      </c>
      <c r="Q9" s="14">
        <f>F9</f>
        <v>20729865.5</v>
      </c>
      <c r="R9" s="39">
        <f t="shared" ref="R9:R24" si="5">Q9/$Q$24</f>
        <v>0.39809872920223111</v>
      </c>
      <c r="U9" s="6" t="str">
        <f>B9</f>
        <v>Ativos fixos tangíveis</v>
      </c>
      <c r="V9" s="6"/>
      <c r="W9" s="14">
        <f>D9</f>
        <v>19459800</v>
      </c>
      <c r="X9" s="45">
        <f>(W9/W9)*100</f>
        <v>100</v>
      </c>
      <c r="Y9" s="14">
        <f>E9</f>
        <v>18666571.5</v>
      </c>
      <c r="Z9" s="45">
        <f>(Y9/W9)*100</f>
        <v>95.923758209231337</v>
      </c>
      <c r="AA9" s="14">
        <f>F9</f>
        <v>20729865.5</v>
      </c>
      <c r="AB9" s="45">
        <f>(AA9/W9)*100</f>
        <v>106.52661127041387</v>
      </c>
      <c r="AE9" s="6" t="str">
        <f>B9</f>
        <v>Ativos fixos tangíveis</v>
      </c>
      <c r="AF9" s="6"/>
      <c r="AG9" s="14">
        <f>D9</f>
        <v>19459800</v>
      </c>
      <c r="AH9" s="45">
        <f>(AG9/AG9)*100</f>
        <v>100</v>
      </c>
      <c r="AI9" s="14">
        <f>E9</f>
        <v>18666571.5</v>
      </c>
      <c r="AJ9" s="45">
        <f>(AI9/AG9)*100</f>
        <v>95.923758209231337</v>
      </c>
      <c r="AK9" s="14">
        <f>F9</f>
        <v>20729865.5</v>
      </c>
      <c r="AL9" s="45">
        <f>(AK9/AI9)*100</f>
        <v>111.05341706697452</v>
      </c>
    </row>
    <row r="10" spans="1:38" ht="15" customHeight="1">
      <c r="B10" s="6" t="str">
        <f>'Balanço Contab'!B10</f>
        <v>Propriedades de investimento</v>
      </c>
      <c r="C10" s="6"/>
      <c r="D10" s="14">
        <f>'Balanço Contab'!D10</f>
        <v>78216</v>
      </c>
      <c r="E10" s="14">
        <f>'Balanço Contab'!E10</f>
        <v>76393</v>
      </c>
      <c r="F10" s="14">
        <f>'Balanço Contab'!F10</f>
        <v>74571</v>
      </c>
      <c r="G10" s="32">
        <f t="shared" ref="G10:G14" si="6">E10-D10</f>
        <v>-1823</v>
      </c>
      <c r="H10" s="32">
        <f t="shared" ref="H10:H14" si="7">F10-E10</f>
        <v>-1822</v>
      </c>
      <c r="K10" s="6" t="str">
        <f t="shared" ref="K10:K14" si="8">B10</f>
        <v>Propriedades de investimento</v>
      </c>
      <c r="L10" s="6"/>
      <c r="M10" s="14">
        <f t="shared" ref="M10:M14" si="9">D10</f>
        <v>78216</v>
      </c>
      <c r="N10" s="39">
        <f t="shared" si="3"/>
        <v>1.7826134203058576E-3</v>
      </c>
      <c r="O10" s="14">
        <f t="shared" ref="O10:O14" si="10">E10</f>
        <v>76393</v>
      </c>
      <c r="P10" s="39">
        <f t="shared" si="4"/>
        <v>1.5935916060258886E-3</v>
      </c>
      <c r="Q10" s="14">
        <f t="shared" ref="Q10:Q14" si="11">F10</f>
        <v>74571</v>
      </c>
      <c r="R10" s="39">
        <f t="shared" si="5"/>
        <v>1.4320700891831436E-3</v>
      </c>
      <c r="U10" s="6" t="str">
        <f t="shared" ref="U10:U14" si="12">B10</f>
        <v>Propriedades de investimento</v>
      </c>
      <c r="V10" s="6"/>
      <c r="W10" s="14">
        <f t="shared" ref="W10:W14" si="13">D10</f>
        <v>78216</v>
      </c>
      <c r="X10" s="45">
        <f t="shared" ref="X10:X14" si="14">(W10/W10)*100</f>
        <v>100</v>
      </c>
      <c r="Y10" s="14">
        <f t="shared" ref="Y10:Y14" si="15">E10</f>
        <v>76393</v>
      </c>
      <c r="Z10" s="45">
        <f t="shared" ref="Z10:Z14" si="16">(Y10/W10)*100</f>
        <v>97.669274828679548</v>
      </c>
      <c r="AA10" s="14">
        <f t="shared" ref="AA10:AA14" si="17">F10</f>
        <v>74571</v>
      </c>
      <c r="AB10" s="45">
        <f t="shared" ref="AB10:AB14" si="18">(AA10/W10)*100</f>
        <v>95.339828168149737</v>
      </c>
      <c r="AE10" s="6" t="str">
        <f t="shared" ref="AE10:AE14" si="19">B10</f>
        <v>Propriedades de investimento</v>
      </c>
      <c r="AF10" s="6"/>
      <c r="AG10" s="14">
        <f t="shared" ref="AG10:AG14" si="20">D10</f>
        <v>78216</v>
      </c>
      <c r="AH10" s="45">
        <f t="shared" ref="AH10:AH14" si="21">(AG10/AG10)*100</f>
        <v>100</v>
      </c>
      <c r="AI10" s="14">
        <f t="shared" ref="AI10:AI14" si="22">E10</f>
        <v>76393</v>
      </c>
      <c r="AJ10" s="45">
        <f t="shared" ref="AJ10:AJ14" si="23">(AI10/AG10)*100</f>
        <v>97.669274828679548</v>
      </c>
      <c r="AK10" s="14">
        <f t="shared" ref="AK10:AK14" si="24">F10</f>
        <v>74571</v>
      </c>
      <c r="AL10" s="45">
        <f t="shared" ref="AL10:AL14" si="25">(AK10/AI10)*100</f>
        <v>97.614964721898602</v>
      </c>
    </row>
    <row r="11" spans="1:38" ht="15" customHeight="1">
      <c r="B11" s="6" t="str">
        <f>'Balanço Contab'!B11</f>
        <v>Ativos intangíveis</v>
      </c>
      <c r="C11" s="6"/>
      <c r="D11" s="14">
        <f>'Balanço Contab'!D11</f>
        <v>278210</v>
      </c>
      <c r="E11" s="14">
        <f>'Balanço Contab'!E11</f>
        <v>261041</v>
      </c>
      <c r="F11" s="14">
        <f>'Balanço Contab'!F11</f>
        <v>242369</v>
      </c>
      <c r="G11" s="32">
        <f t="shared" si="6"/>
        <v>-17169</v>
      </c>
      <c r="H11" s="32">
        <f t="shared" si="7"/>
        <v>-18672</v>
      </c>
      <c r="K11" s="6" t="str">
        <f t="shared" si="8"/>
        <v>Ativos intangíveis</v>
      </c>
      <c r="L11" s="6"/>
      <c r="M11" s="14">
        <f t="shared" si="9"/>
        <v>278210</v>
      </c>
      <c r="N11" s="39">
        <f t="shared" si="3"/>
        <v>6.3406576616458609E-3</v>
      </c>
      <c r="O11" s="14">
        <f t="shared" si="10"/>
        <v>261041</v>
      </c>
      <c r="P11" s="39">
        <f t="shared" si="4"/>
        <v>5.4454301628238709E-3</v>
      </c>
      <c r="Q11" s="14">
        <f t="shared" si="11"/>
        <v>242369</v>
      </c>
      <c r="R11" s="39">
        <f t="shared" si="5"/>
        <v>4.6544822443742124E-3</v>
      </c>
      <c r="U11" s="6" t="str">
        <f t="shared" si="12"/>
        <v>Ativos intangíveis</v>
      </c>
      <c r="V11" s="6"/>
      <c r="W11" s="14">
        <f t="shared" si="13"/>
        <v>278210</v>
      </c>
      <c r="X11" s="45">
        <f t="shared" si="14"/>
        <v>100</v>
      </c>
      <c r="Y11" s="14">
        <f t="shared" si="15"/>
        <v>261041</v>
      </c>
      <c r="Z11" s="45">
        <f t="shared" si="16"/>
        <v>93.828762445634595</v>
      </c>
      <c r="AA11" s="14">
        <f t="shared" si="17"/>
        <v>242369</v>
      </c>
      <c r="AB11" s="45">
        <f t="shared" si="18"/>
        <v>87.117285503756165</v>
      </c>
      <c r="AE11" s="6" t="str">
        <f t="shared" si="19"/>
        <v>Ativos intangíveis</v>
      </c>
      <c r="AF11" s="6"/>
      <c r="AG11" s="14">
        <f t="shared" si="20"/>
        <v>278210</v>
      </c>
      <c r="AH11" s="45">
        <f t="shared" si="21"/>
        <v>100</v>
      </c>
      <c r="AI11" s="14">
        <f t="shared" si="22"/>
        <v>261041</v>
      </c>
      <c r="AJ11" s="45">
        <f t="shared" si="23"/>
        <v>93.828762445634595</v>
      </c>
      <c r="AK11" s="14">
        <f t="shared" si="24"/>
        <v>242369</v>
      </c>
      <c r="AL11" s="45">
        <f t="shared" si="25"/>
        <v>92.847100647024789</v>
      </c>
    </row>
    <row r="12" spans="1:38" ht="15" customHeight="1">
      <c r="B12" s="6" t="str">
        <f>'Balanço Contab'!B12</f>
        <v>Participações financeiras - Outros métodos</v>
      </c>
      <c r="C12" s="6"/>
      <c r="D12" s="14">
        <f>'Balanço Contab'!D12</f>
        <v>160000</v>
      </c>
      <c r="E12" s="14">
        <f>'Balanço Contab'!E12</f>
        <v>166000</v>
      </c>
      <c r="F12" s="14">
        <f>'Balanço Contab'!F12</f>
        <v>166000</v>
      </c>
      <c r="G12" s="32">
        <f t="shared" si="6"/>
        <v>6000</v>
      </c>
      <c r="H12" s="32">
        <f t="shared" si="7"/>
        <v>0</v>
      </c>
      <c r="K12" s="6" t="str">
        <f t="shared" si="8"/>
        <v>Participações financeiras - Outros métodos</v>
      </c>
      <c r="L12" s="6"/>
      <c r="M12" s="14">
        <f t="shared" si="9"/>
        <v>160000</v>
      </c>
      <c r="N12" s="39">
        <f t="shared" si="3"/>
        <v>3.646544789415685E-3</v>
      </c>
      <c r="O12" s="14">
        <f t="shared" si="10"/>
        <v>166000</v>
      </c>
      <c r="P12" s="39">
        <f t="shared" si="4"/>
        <v>3.4628330684787546E-3</v>
      </c>
      <c r="Q12" s="14">
        <f t="shared" si="11"/>
        <v>166000</v>
      </c>
      <c r="R12" s="39">
        <f t="shared" si="5"/>
        <v>3.1878831557093489E-3</v>
      </c>
      <c r="U12" s="6" t="str">
        <f t="shared" si="12"/>
        <v>Participações financeiras - Outros métodos</v>
      </c>
      <c r="V12" s="6"/>
      <c r="W12" s="14">
        <f t="shared" si="13"/>
        <v>160000</v>
      </c>
      <c r="X12" s="45">
        <f t="shared" si="14"/>
        <v>100</v>
      </c>
      <c r="Y12" s="14">
        <f t="shared" si="15"/>
        <v>166000</v>
      </c>
      <c r="Z12" s="45">
        <f t="shared" si="16"/>
        <v>103.75000000000001</v>
      </c>
      <c r="AA12" s="14">
        <f t="shared" si="17"/>
        <v>166000</v>
      </c>
      <c r="AB12" s="45">
        <f t="shared" si="18"/>
        <v>103.75000000000001</v>
      </c>
      <c r="AE12" s="6" t="str">
        <f t="shared" si="19"/>
        <v>Participações financeiras - Outros métodos</v>
      </c>
      <c r="AF12" s="6"/>
      <c r="AG12" s="14">
        <f t="shared" si="20"/>
        <v>160000</v>
      </c>
      <c r="AH12" s="45">
        <f t="shared" si="21"/>
        <v>100</v>
      </c>
      <c r="AI12" s="14">
        <f t="shared" si="22"/>
        <v>166000</v>
      </c>
      <c r="AJ12" s="45">
        <f t="shared" si="23"/>
        <v>103.75000000000001</v>
      </c>
      <c r="AK12" s="14">
        <f t="shared" si="24"/>
        <v>166000</v>
      </c>
      <c r="AL12" s="45">
        <f t="shared" si="25"/>
        <v>100</v>
      </c>
    </row>
    <row r="13" spans="1:38" ht="15" customHeight="1">
      <c r="B13" s="6" t="str">
        <f>'Balanço Contab'!B13</f>
        <v xml:space="preserve">Outros ativos financeiros </v>
      </c>
      <c r="C13" s="6"/>
      <c r="D13" s="14">
        <f>'Balanço Contab'!D13</f>
        <v>2392</v>
      </c>
      <c r="E13" s="14">
        <f>'Balanço Contab'!E13</f>
        <v>2944</v>
      </c>
      <c r="F13" s="14">
        <f>'Balanço Contab'!F13</f>
        <v>2887</v>
      </c>
      <c r="G13" s="32">
        <f t="shared" si="6"/>
        <v>552</v>
      </c>
      <c r="H13" s="32">
        <f t="shared" si="7"/>
        <v>-57</v>
      </c>
      <c r="K13" s="6" t="str">
        <f t="shared" si="8"/>
        <v xml:space="preserve">Outros ativos financeiros </v>
      </c>
      <c r="L13" s="6"/>
      <c r="M13" s="14">
        <f t="shared" si="9"/>
        <v>2392</v>
      </c>
      <c r="N13" s="39">
        <f t="shared" si="3"/>
        <v>5.4515844601764492E-5</v>
      </c>
      <c r="O13" s="14">
        <f t="shared" si="10"/>
        <v>2944</v>
      </c>
      <c r="P13" s="39">
        <f t="shared" si="4"/>
        <v>6.1413135865068995E-5</v>
      </c>
      <c r="Q13" s="14">
        <f t="shared" si="11"/>
        <v>2887</v>
      </c>
      <c r="R13" s="39">
        <f t="shared" si="5"/>
        <v>5.5442281147788497E-5</v>
      </c>
      <c r="U13" s="6" t="str">
        <f t="shared" si="12"/>
        <v xml:space="preserve">Outros ativos financeiros </v>
      </c>
      <c r="V13" s="6"/>
      <c r="W13" s="14">
        <f t="shared" si="13"/>
        <v>2392</v>
      </c>
      <c r="X13" s="45">
        <f t="shared" si="14"/>
        <v>100</v>
      </c>
      <c r="Y13" s="14">
        <f t="shared" si="15"/>
        <v>2944</v>
      </c>
      <c r="Z13" s="45">
        <f t="shared" si="16"/>
        <v>123.07692307692308</v>
      </c>
      <c r="AA13" s="14">
        <f t="shared" si="17"/>
        <v>2887</v>
      </c>
      <c r="AB13" s="45">
        <f t="shared" si="18"/>
        <v>120.69397993311037</v>
      </c>
      <c r="AE13" s="6" t="str">
        <f t="shared" si="19"/>
        <v xml:space="preserve">Outros ativos financeiros </v>
      </c>
      <c r="AF13" s="6"/>
      <c r="AG13" s="14">
        <f t="shared" si="20"/>
        <v>2392</v>
      </c>
      <c r="AH13" s="45">
        <f t="shared" si="21"/>
        <v>100</v>
      </c>
      <c r="AI13" s="14">
        <f t="shared" si="22"/>
        <v>2944</v>
      </c>
      <c r="AJ13" s="45">
        <f t="shared" si="23"/>
        <v>123.07692307692308</v>
      </c>
      <c r="AK13" s="14">
        <f t="shared" si="24"/>
        <v>2887</v>
      </c>
      <c r="AL13" s="45">
        <f t="shared" si="25"/>
        <v>98.063858695652172</v>
      </c>
    </row>
    <row r="14" spans="1:38" ht="15" customHeight="1">
      <c r="B14" s="6" t="str">
        <f>'Balanço Contab'!B14</f>
        <v>Ativos por impostos diferidos</v>
      </c>
      <c r="C14" s="6"/>
      <c r="D14" s="14">
        <f>'Balanço Contab'!D14</f>
        <v>3543112</v>
      </c>
      <c r="E14" s="14">
        <f>'Balanço Contab'!E14</f>
        <v>2870650</v>
      </c>
      <c r="F14" s="14">
        <f>'Balanço Contab'!F14</f>
        <v>3308871</v>
      </c>
      <c r="G14" s="32">
        <f t="shared" si="6"/>
        <v>-672462</v>
      </c>
      <c r="H14" s="32">
        <f t="shared" si="7"/>
        <v>438221</v>
      </c>
      <c r="K14" s="6" t="str">
        <f t="shared" si="8"/>
        <v>Ativos por impostos diferidos</v>
      </c>
      <c r="L14" s="6"/>
      <c r="M14" s="14">
        <f t="shared" si="9"/>
        <v>3543112</v>
      </c>
      <c r="N14" s="39">
        <f t="shared" si="3"/>
        <v>8.075072876197617E-2</v>
      </c>
      <c r="O14" s="14">
        <f t="shared" si="10"/>
        <v>2870650</v>
      </c>
      <c r="P14" s="39">
        <f t="shared" si="4"/>
        <v>5.9883022578485164E-2</v>
      </c>
      <c r="Q14" s="14">
        <f t="shared" si="11"/>
        <v>3308871</v>
      </c>
      <c r="R14" s="39">
        <f t="shared" si="5"/>
        <v>6.3543940513946684E-2</v>
      </c>
      <c r="U14" s="6" t="str">
        <f t="shared" si="12"/>
        <v>Ativos por impostos diferidos</v>
      </c>
      <c r="V14" s="6"/>
      <c r="W14" s="14">
        <f t="shared" si="13"/>
        <v>3543112</v>
      </c>
      <c r="X14" s="45">
        <f t="shared" si="14"/>
        <v>100</v>
      </c>
      <c r="Y14" s="14">
        <f t="shared" si="15"/>
        <v>2870650</v>
      </c>
      <c r="Z14" s="45">
        <f t="shared" si="16"/>
        <v>81.02058303547841</v>
      </c>
      <c r="AA14" s="14">
        <f t="shared" si="17"/>
        <v>3308871</v>
      </c>
      <c r="AB14" s="45">
        <f t="shared" si="18"/>
        <v>93.38883444836064</v>
      </c>
      <c r="AE14" s="6" t="str">
        <f t="shared" si="19"/>
        <v>Ativos por impostos diferidos</v>
      </c>
      <c r="AF14" s="6"/>
      <c r="AG14" s="14">
        <f t="shared" si="20"/>
        <v>3543112</v>
      </c>
      <c r="AH14" s="45">
        <f t="shared" si="21"/>
        <v>100</v>
      </c>
      <c r="AI14" s="14">
        <f t="shared" si="22"/>
        <v>2870650</v>
      </c>
      <c r="AJ14" s="45">
        <f t="shared" si="23"/>
        <v>81.02058303547841</v>
      </c>
      <c r="AK14" s="14">
        <f t="shared" si="24"/>
        <v>3308871</v>
      </c>
      <c r="AL14" s="45">
        <f t="shared" si="25"/>
        <v>115.26556703185689</v>
      </c>
    </row>
    <row r="15" spans="1:38" ht="15" customHeight="1">
      <c r="B15" s="6"/>
      <c r="C15" s="6"/>
      <c r="D15" s="15">
        <f>SUM(D9:D14)</f>
        <v>23521730</v>
      </c>
      <c r="E15" s="15">
        <f t="shared" ref="E15:F15" si="26">SUM(E9:E14)</f>
        <v>22043599.5</v>
      </c>
      <c r="F15" s="15">
        <f t="shared" si="26"/>
        <v>24524563.5</v>
      </c>
      <c r="G15" s="33">
        <f t="shared" ref="G15" si="27">E15-D15</f>
        <v>-1478130.5</v>
      </c>
      <c r="H15" s="33">
        <f t="shared" ref="H15" si="28">F15-E15</f>
        <v>2480964</v>
      </c>
      <c r="K15" s="6"/>
      <c r="L15" s="6"/>
      <c r="M15" s="15">
        <f>SUM(M9:M14)</f>
        <v>23521730</v>
      </c>
      <c r="N15" s="40">
        <f t="shared" si="3"/>
        <v>0.53608151230964129</v>
      </c>
      <c r="O15" s="15">
        <f t="shared" ref="O15" si="29">SUM(O9:O14)</f>
        <v>22043599.5</v>
      </c>
      <c r="P15" s="40">
        <f t="shared" si="4"/>
        <v>0.45983918853555267</v>
      </c>
      <c r="Q15" s="15">
        <f t="shared" ref="Q15" si="30">SUM(Q9:Q14)</f>
        <v>24524563.5</v>
      </c>
      <c r="R15" s="40">
        <f t="shared" si="5"/>
        <v>0.47097254748659229</v>
      </c>
      <c r="U15" s="6"/>
      <c r="V15" s="6"/>
      <c r="W15" s="15">
        <f>SUM(W9:W14)</f>
        <v>23521730</v>
      </c>
      <c r="X15" s="46">
        <f t="shared" ref="X15:X24" si="31">(W15/W15)*100</f>
        <v>100</v>
      </c>
      <c r="Y15" s="15">
        <f t="shared" ref="Y15:AA15" si="32">SUM(Y9:Y14)</f>
        <v>22043599.5</v>
      </c>
      <c r="Z15" s="46">
        <f t="shared" ref="Z15:Z24" si="33">(Y15/W15)*100</f>
        <v>93.715893771419019</v>
      </c>
      <c r="AA15" s="15">
        <f t="shared" si="32"/>
        <v>24524563.5</v>
      </c>
      <c r="AB15" s="46">
        <f t="shared" ref="AB15:AB24" si="34">(AA15/W15)*100</f>
        <v>104.26343427970646</v>
      </c>
      <c r="AE15" s="6"/>
      <c r="AF15" s="6"/>
      <c r="AG15" s="15">
        <f>SUM(AG9:AG14)</f>
        <v>23521730</v>
      </c>
      <c r="AH15" s="46">
        <f t="shared" ref="AH15:AH24" si="35">(AG15/AG15)*100</f>
        <v>100</v>
      </c>
      <c r="AI15" s="15">
        <f>SUM(AI9:AI14)</f>
        <v>22043599.5</v>
      </c>
      <c r="AJ15" s="46">
        <f t="shared" ref="AJ15:AJ24" si="36">(AI15/AG15)*100</f>
        <v>93.715893771419019</v>
      </c>
      <c r="AK15" s="15">
        <f>SUM(AK9:AK14)</f>
        <v>24524563.5</v>
      </c>
      <c r="AL15" s="46">
        <f t="shared" ref="AL15:AL24" si="37">(AK15/AI15)*100</f>
        <v>111.25480437076531</v>
      </c>
    </row>
    <row r="16" spans="1:38" ht="15" customHeight="1">
      <c r="B16" s="5" t="str">
        <f>'Balanço Contab'!B16</f>
        <v>Ativo corrente</v>
      </c>
      <c r="C16" s="6"/>
      <c r="D16" s="6"/>
      <c r="E16" s="6"/>
      <c r="F16" s="6"/>
      <c r="G16" s="31"/>
      <c r="H16" s="31"/>
      <c r="K16" s="5" t="str">
        <f t="shared" si="0"/>
        <v>Ativo corrente</v>
      </c>
      <c r="L16" s="6"/>
      <c r="M16" s="6"/>
      <c r="N16" s="39">
        <f t="shared" si="3"/>
        <v>0</v>
      </c>
      <c r="O16" s="6"/>
      <c r="P16" s="39">
        <f t="shared" si="4"/>
        <v>0</v>
      </c>
      <c r="Q16" s="6"/>
      <c r="R16" s="39">
        <f t="shared" si="5"/>
        <v>0</v>
      </c>
      <c r="U16" s="5" t="str">
        <f t="shared" si="1"/>
        <v>Ativo corrente</v>
      </c>
      <c r="V16" s="6"/>
      <c r="W16" s="6"/>
      <c r="X16" s="45"/>
      <c r="Y16" s="6"/>
      <c r="Z16" s="45"/>
      <c r="AA16" s="6"/>
      <c r="AB16" s="45"/>
      <c r="AE16" s="5" t="str">
        <f t="shared" si="2"/>
        <v>Ativo corrente</v>
      </c>
      <c r="AF16" s="6"/>
      <c r="AG16" s="6"/>
      <c r="AH16" s="45"/>
      <c r="AI16" s="6"/>
      <c r="AJ16" s="45"/>
      <c r="AK16" s="6"/>
      <c r="AL16" s="45"/>
    </row>
    <row r="17" spans="2:38" ht="15" customHeight="1">
      <c r="B17" s="6" t="str">
        <f>'Balanço Contab'!B17</f>
        <v>Inventários</v>
      </c>
      <c r="C17" s="6"/>
      <c r="D17" s="14">
        <f>'Balanço Contab'!D17</f>
        <v>2476629</v>
      </c>
      <c r="E17" s="14">
        <f>'Balanço Contab'!E17</f>
        <v>2368546</v>
      </c>
      <c r="F17" s="14">
        <f>'Balanço Contab'!F17</f>
        <v>2667287</v>
      </c>
      <c r="G17" s="32">
        <f>E17-D17</f>
        <v>-108083</v>
      </c>
      <c r="H17" s="32">
        <f>F17-E17</f>
        <v>298741</v>
      </c>
      <c r="K17" s="6" t="str">
        <f>B17</f>
        <v>Inventários</v>
      </c>
      <c r="L17" s="6"/>
      <c r="M17" s="14">
        <f>D17</f>
        <v>2476629</v>
      </c>
      <c r="N17" s="39">
        <f t="shared" si="3"/>
        <v>5.6444616095411113E-2</v>
      </c>
      <c r="O17" s="14">
        <f>E17</f>
        <v>2368546</v>
      </c>
      <c r="P17" s="39">
        <f t="shared" si="4"/>
        <v>4.9408912126584825E-2</v>
      </c>
      <c r="Q17" s="14">
        <f>F17</f>
        <v>2667287</v>
      </c>
      <c r="R17" s="39">
        <f t="shared" si="5"/>
        <v>5.1222887341822426E-2</v>
      </c>
      <c r="U17" s="6" t="str">
        <f>B17</f>
        <v>Inventários</v>
      </c>
      <c r="V17" s="6"/>
      <c r="W17" s="14">
        <f>D17</f>
        <v>2476629</v>
      </c>
      <c r="X17" s="45">
        <f t="shared" si="31"/>
        <v>100</v>
      </c>
      <c r="Y17" s="14">
        <f>E17</f>
        <v>2368546</v>
      </c>
      <c r="Z17" s="45">
        <f t="shared" si="33"/>
        <v>95.635882483811656</v>
      </c>
      <c r="AA17" s="14">
        <f>F17</f>
        <v>2667287</v>
      </c>
      <c r="AB17" s="45">
        <f t="shared" si="34"/>
        <v>107.69828666304078</v>
      </c>
      <c r="AE17" s="6" t="str">
        <f>B17</f>
        <v>Inventários</v>
      </c>
      <c r="AF17" s="6"/>
      <c r="AG17" s="14">
        <f>D17</f>
        <v>2476629</v>
      </c>
      <c r="AH17" s="45">
        <f t="shared" si="35"/>
        <v>100</v>
      </c>
      <c r="AI17" s="14">
        <f>E17</f>
        <v>2368546</v>
      </c>
      <c r="AJ17" s="45">
        <f t="shared" si="36"/>
        <v>95.635882483811656</v>
      </c>
      <c r="AK17" s="14">
        <f>F17</f>
        <v>2667287</v>
      </c>
      <c r="AL17" s="45">
        <f t="shared" si="37"/>
        <v>112.61284349132336</v>
      </c>
    </row>
    <row r="18" spans="2:38" ht="15" customHeight="1">
      <c r="B18" s="6" t="str">
        <f>'Balanço Contab'!B18</f>
        <v>Clientes</v>
      </c>
      <c r="C18" s="6"/>
      <c r="D18" s="14">
        <f>'Balanço Contab'!D18</f>
        <v>10993343</v>
      </c>
      <c r="E18" s="14">
        <f>'Balanço Contab'!E18</f>
        <v>13433627.5</v>
      </c>
      <c r="F18" s="14">
        <f>'Balanço Contab'!F18</f>
        <v>15033498.5</v>
      </c>
      <c r="G18" s="32">
        <f t="shared" ref="G18:G22" si="38">E18-D18</f>
        <v>2440284.5</v>
      </c>
      <c r="H18" s="32">
        <f t="shared" ref="H18:H22" si="39">F18-E18</f>
        <v>1599871</v>
      </c>
      <c r="K18" s="6" t="str">
        <f t="shared" ref="K18:K22" si="40">B18</f>
        <v>Clientes</v>
      </c>
      <c r="L18" s="6"/>
      <c r="M18" s="14">
        <f t="shared" ref="M18:M22" si="41">D18</f>
        <v>10993343</v>
      </c>
      <c r="N18" s="39">
        <f t="shared" si="3"/>
        <v>0.2505482352181837</v>
      </c>
      <c r="O18" s="14">
        <f t="shared" ref="O18:O22" si="42">E18</f>
        <v>13433627.5</v>
      </c>
      <c r="P18" s="39">
        <f t="shared" si="4"/>
        <v>0.28023138275075654</v>
      </c>
      <c r="Q18" s="14">
        <f t="shared" ref="Q18:Q22" si="43">F18</f>
        <v>15033498.5</v>
      </c>
      <c r="R18" s="39">
        <f t="shared" si="5"/>
        <v>0.28870503999717928</v>
      </c>
      <c r="U18" s="6" t="str">
        <f t="shared" ref="U18:U22" si="44">B18</f>
        <v>Clientes</v>
      </c>
      <c r="V18" s="6"/>
      <c r="W18" s="14">
        <f t="shared" ref="W18:W22" si="45">D18</f>
        <v>10993343</v>
      </c>
      <c r="X18" s="45">
        <f t="shared" ref="X18:X22" si="46">(W18/W18)*100</f>
        <v>100</v>
      </c>
      <c r="Y18" s="14">
        <f t="shared" ref="Y18:Y22" si="47">E18</f>
        <v>13433627.5</v>
      </c>
      <c r="Z18" s="45">
        <f t="shared" ref="Z18:Z22" si="48">(Y18/W18)*100</f>
        <v>122.19783827358066</v>
      </c>
      <c r="AA18" s="14">
        <f t="shared" ref="AA18:AA22" si="49">F18</f>
        <v>15033498.5</v>
      </c>
      <c r="AB18" s="45">
        <f t="shared" ref="AB18:AB22" si="50">(AA18/W18)*100</f>
        <v>136.75092735667394</v>
      </c>
      <c r="AE18" s="6" t="str">
        <f t="shared" si="2"/>
        <v>Clientes</v>
      </c>
      <c r="AF18" s="6"/>
      <c r="AG18" s="14">
        <f t="shared" ref="AG18:AG22" si="51">D18</f>
        <v>10993343</v>
      </c>
      <c r="AH18" s="45">
        <f t="shared" ref="AH18:AH22" si="52">(AG18/AG18)*100</f>
        <v>100</v>
      </c>
      <c r="AI18" s="14">
        <f t="shared" ref="AI18:AI22" si="53">E18</f>
        <v>13433627.5</v>
      </c>
      <c r="AJ18" s="45">
        <f t="shared" ref="AJ18:AJ22" si="54">(AI18/AG18)*100</f>
        <v>122.19783827358066</v>
      </c>
      <c r="AK18" s="14">
        <f t="shared" ref="AK18:AK22" si="55">F18</f>
        <v>15033498.5</v>
      </c>
      <c r="AL18" s="45">
        <f t="shared" ref="AL18:AL22" si="56">(AK18/AI18)*100</f>
        <v>111.90944888117525</v>
      </c>
    </row>
    <row r="19" spans="2:38" ht="15" customHeight="1">
      <c r="B19" s="6" t="str">
        <f>'Balanço Contab'!B19</f>
        <v>Estado e Outros Entes Públicos</v>
      </c>
      <c r="C19" s="6"/>
      <c r="D19" s="14">
        <f>'Balanço Contab'!D19</f>
        <v>299077</v>
      </c>
      <c r="E19" s="14">
        <f>'Balanço Contab'!E19</f>
        <v>254510</v>
      </c>
      <c r="F19" s="14">
        <f>'Balanço Contab'!F19</f>
        <v>764059</v>
      </c>
      <c r="G19" s="32">
        <f t="shared" si="38"/>
        <v>-44567</v>
      </c>
      <c r="H19" s="32">
        <f t="shared" si="39"/>
        <v>509549</v>
      </c>
      <c r="K19" s="6" t="str">
        <f t="shared" si="40"/>
        <v>Estado e Outros Entes Públicos</v>
      </c>
      <c r="L19" s="6"/>
      <c r="M19" s="14">
        <f t="shared" si="41"/>
        <v>299077</v>
      </c>
      <c r="N19" s="39">
        <f t="shared" si="3"/>
        <v>6.8162354749004674E-3</v>
      </c>
      <c r="O19" s="14">
        <f t="shared" si="42"/>
        <v>254510</v>
      </c>
      <c r="P19" s="39">
        <f t="shared" si="4"/>
        <v>5.3091906280634208E-3</v>
      </c>
      <c r="Q19" s="14">
        <f t="shared" si="43"/>
        <v>764059</v>
      </c>
      <c r="R19" s="39">
        <f t="shared" si="5"/>
        <v>1.4673077205229696E-2</v>
      </c>
      <c r="U19" s="6" t="str">
        <f t="shared" si="44"/>
        <v>Estado e Outros Entes Públicos</v>
      </c>
      <c r="V19" s="6"/>
      <c r="W19" s="14">
        <f t="shared" si="45"/>
        <v>299077</v>
      </c>
      <c r="X19" s="45">
        <f t="shared" si="46"/>
        <v>100</v>
      </c>
      <c r="Y19" s="14">
        <f t="shared" si="47"/>
        <v>254510</v>
      </c>
      <c r="Z19" s="45">
        <f t="shared" si="48"/>
        <v>85.0984863429819</v>
      </c>
      <c r="AA19" s="14">
        <f t="shared" si="49"/>
        <v>764059</v>
      </c>
      <c r="AB19" s="45">
        <f t="shared" si="50"/>
        <v>255.47233655546901</v>
      </c>
      <c r="AE19" s="6" t="str">
        <f t="shared" si="2"/>
        <v>Estado e Outros Entes Públicos</v>
      </c>
      <c r="AF19" s="6"/>
      <c r="AG19" s="14">
        <f t="shared" si="51"/>
        <v>299077</v>
      </c>
      <c r="AH19" s="45">
        <f t="shared" si="52"/>
        <v>100</v>
      </c>
      <c r="AI19" s="14">
        <f t="shared" si="53"/>
        <v>254510</v>
      </c>
      <c r="AJ19" s="45">
        <f t="shared" si="54"/>
        <v>85.0984863429819</v>
      </c>
      <c r="AK19" s="14">
        <f t="shared" si="55"/>
        <v>764059</v>
      </c>
      <c r="AL19" s="45">
        <f t="shared" si="56"/>
        <v>300.20785037915994</v>
      </c>
    </row>
    <row r="20" spans="2:38" ht="15" customHeight="1">
      <c r="B20" s="6" t="str">
        <f>'Balanço Contab'!B20</f>
        <v>Outros créditos a receber</v>
      </c>
      <c r="C20" s="6"/>
      <c r="D20" s="14">
        <f>'Balanço Contab'!D20</f>
        <v>4152529</v>
      </c>
      <c r="E20" s="14">
        <f>'Balanço Contab'!E20</f>
        <v>5511417</v>
      </c>
      <c r="F20" s="14">
        <f>'Balanço Contab'!F20</f>
        <v>7076559</v>
      </c>
      <c r="G20" s="32">
        <f t="shared" si="38"/>
        <v>1358888</v>
      </c>
      <c r="H20" s="32">
        <f t="shared" si="39"/>
        <v>1565142</v>
      </c>
      <c r="K20" s="6" t="str">
        <f t="shared" si="40"/>
        <v>Outros créditos a receber</v>
      </c>
      <c r="L20" s="6"/>
      <c r="M20" s="14">
        <f t="shared" si="41"/>
        <v>4152529</v>
      </c>
      <c r="N20" s="39">
        <f t="shared" si="3"/>
        <v>9.4639893674047029E-2</v>
      </c>
      <c r="O20" s="14">
        <f t="shared" si="42"/>
        <v>5511417</v>
      </c>
      <c r="P20" s="39">
        <f t="shared" si="4"/>
        <v>0.11497058458901188</v>
      </c>
      <c r="Q20" s="14">
        <f t="shared" si="43"/>
        <v>7076559</v>
      </c>
      <c r="R20" s="39">
        <f t="shared" si="5"/>
        <v>0.13589905564146623</v>
      </c>
      <c r="U20" s="6" t="str">
        <f t="shared" si="44"/>
        <v>Outros créditos a receber</v>
      </c>
      <c r="V20" s="6"/>
      <c r="W20" s="14">
        <f t="shared" si="45"/>
        <v>4152529</v>
      </c>
      <c r="X20" s="45">
        <f t="shared" si="46"/>
        <v>100</v>
      </c>
      <c r="Y20" s="14">
        <f t="shared" si="47"/>
        <v>5511417</v>
      </c>
      <c r="Z20" s="45">
        <f t="shared" si="48"/>
        <v>132.72434701840734</v>
      </c>
      <c r="AA20" s="14">
        <f t="shared" si="49"/>
        <v>7076559</v>
      </c>
      <c r="AB20" s="45">
        <f t="shared" si="50"/>
        <v>170.41564309364244</v>
      </c>
      <c r="AE20" s="6" t="str">
        <f t="shared" si="2"/>
        <v>Outros créditos a receber</v>
      </c>
      <c r="AF20" s="6"/>
      <c r="AG20" s="14">
        <f t="shared" si="51"/>
        <v>4152529</v>
      </c>
      <c r="AH20" s="45">
        <f t="shared" si="52"/>
        <v>100</v>
      </c>
      <c r="AI20" s="14">
        <f t="shared" si="53"/>
        <v>5511417</v>
      </c>
      <c r="AJ20" s="45">
        <f t="shared" si="54"/>
        <v>132.72434701840734</v>
      </c>
      <c r="AK20" s="14">
        <f t="shared" si="55"/>
        <v>7076559</v>
      </c>
      <c r="AL20" s="45">
        <f t="shared" si="56"/>
        <v>128.39817781888036</v>
      </c>
    </row>
    <row r="21" spans="2:38" ht="15" customHeight="1">
      <c r="B21" s="6" t="str">
        <f>'Balanço Contab'!B21</f>
        <v>Diferimentos</v>
      </c>
      <c r="C21" s="6"/>
      <c r="D21" s="14">
        <f>'Balanço Contab'!D21</f>
        <v>175917</v>
      </c>
      <c r="E21" s="14">
        <f>'Balanço Contab'!E21</f>
        <v>187514</v>
      </c>
      <c r="F21" s="14">
        <f>'Balanço Contab'!F21</f>
        <v>206335</v>
      </c>
      <c r="G21" s="32">
        <f t="shared" si="38"/>
        <v>11597</v>
      </c>
      <c r="H21" s="32">
        <f t="shared" si="39"/>
        <v>18821</v>
      </c>
      <c r="K21" s="6" t="str">
        <f t="shared" si="40"/>
        <v>Diferimentos</v>
      </c>
      <c r="L21" s="6"/>
      <c r="M21" s="14">
        <f t="shared" si="41"/>
        <v>175917</v>
      </c>
      <c r="N21" s="39">
        <f t="shared" si="3"/>
        <v>4.0093076232477444E-3</v>
      </c>
      <c r="O21" s="14">
        <f t="shared" si="42"/>
        <v>187514</v>
      </c>
      <c r="P21" s="39">
        <f t="shared" si="4"/>
        <v>3.9116245783296696E-3</v>
      </c>
      <c r="Q21" s="14">
        <f t="shared" si="43"/>
        <v>206335</v>
      </c>
      <c r="R21" s="39">
        <f t="shared" si="5"/>
        <v>3.9624811502005329E-3</v>
      </c>
      <c r="U21" s="6" t="str">
        <f t="shared" si="44"/>
        <v>Diferimentos</v>
      </c>
      <c r="V21" s="6"/>
      <c r="W21" s="14">
        <f t="shared" si="45"/>
        <v>175917</v>
      </c>
      <c r="X21" s="45">
        <f t="shared" si="46"/>
        <v>100</v>
      </c>
      <c r="Y21" s="14">
        <f t="shared" si="47"/>
        <v>187514</v>
      </c>
      <c r="Z21" s="45">
        <f t="shared" si="48"/>
        <v>106.59231342053354</v>
      </c>
      <c r="AA21" s="14">
        <f t="shared" si="49"/>
        <v>206335</v>
      </c>
      <c r="AB21" s="45">
        <f t="shared" si="50"/>
        <v>117.2911088752082</v>
      </c>
      <c r="AE21" s="6" t="str">
        <f t="shared" si="2"/>
        <v>Diferimentos</v>
      </c>
      <c r="AF21" s="6"/>
      <c r="AG21" s="14">
        <f t="shared" si="51"/>
        <v>175917</v>
      </c>
      <c r="AH21" s="45">
        <f t="shared" si="52"/>
        <v>100</v>
      </c>
      <c r="AI21" s="14">
        <f t="shared" si="53"/>
        <v>187514</v>
      </c>
      <c r="AJ21" s="45">
        <f t="shared" si="54"/>
        <v>106.59231342053354</v>
      </c>
      <c r="AK21" s="14">
        <f t="shared" si="55"/>
        <v>206335</v>
      </c>
      <c r="AL21" s="45">
        <f t="shared" si="56"/>
        <v>110.03711722858027</v>
      </c>
    </row>
    <row r="22" spans="2:38" ht="15" customHeight="1">
      <c r="B22" s="6" t="str">
        <f>'Balanço Contab'!B22</f>
        <v>Caixa e depósitos bancários</v>
      </c>
      <c r="C22" s="6"/>
      <c r="D22" s="14">
        <f>'Balanço Contab'!D22</f>
        <v>2257927</v>
      </c>
      <c r="E22" s="14">
        <f>'Balanço Contab'!E22</f>
        <v>4138413</v>
      </c>
      <c r="F22" s="14">
        <f>'Balanço Contab'!F22</f>
        <v>1799870</v>
      </c>
      <c r="G22" s="32">
        <f t="shared" si="38"/>
        <v>1880486</v>
      </c>
      <c r="H22" s="32">
        <f t="shared" si="39"/>
        <v>-2338543</v>
      </c>
      <c r="K22" s="6" t="str">
        <f t="shared" si="40"/>
        <v>Caixa e depósitos bancários</v>
      </c>
      <c r="L22" s="6"/>
      <c r="M22" s="14">
        <f t="shared" si="41"/>
        <v>2257927</v>
      </c>
      <c r="N22" s="39">
        <f t="shared" si="3"/>
        <v>5.1460199604568685E-2</v>
      </c>
      <c r="O22" s="14">
        <f t="shared" si="42"/>
        <v>4138413</v>
      </c>
      <c r="P22" s="39">
        <f t="shared" si="4"/>
        <v>8.6329116791701022E-2</v>
      </c>
      <c r="Q22" s="14">
        <f t="shared" si="43"/>
        <v>1799870</v>
      </c>
      <c r="R22" s="39">
        <f t="shared" si="5"/>
        <v>3.4564911177509552E-2</v>
      </c>
      <c r="U22" s="6" t="str">
        <f t="shared" si="44"/>
        <v>Caixa e depósitos bancários</v>
      </c>
      <c r="V22" s="6"/>
      <c r="W22" s="14">
        <f t="shared" si="45"/>
        <v>2257927</v>
      </c>
      <c r="X22" s="45">
        <f t="shared" si="46"/>
        <v>100</v>
      </c>
      <c r="Y22" s="14">
        <f t="shared" si="47"/>
        <v>4138413</v>
      </c>
      <c r="Z22" s="45">
        <f t="shared" si="48"/>
        <v>183.28373769391126</v>
      </c>
      <c r="AA22" s="14">
        <f t="shared" si="49"/>
        <v>1799870</v>
      </c>
      <c r="AB22" s="45">
        <f t="shared" si="50"/>
        <v>79.713383116460363</v>
      </c>
      <c r="AE22" s="6" t="str">
        <f t="shared" si="2"/>
        <v>Caixa e depósitos bancários</v>
      </c>
      <c r="AF22" s="6"/>
      <c r="AG22" s="14">
        <f t="shared" si="51"/>
        <v>2257927</v>
      </c>
      <c r="AH22" s="45">
        <f t="shared" si="52"/>
        <v>100</v>
      </c>
      <c r="AI22" s="14">
        <f t="shared" si="53"/>
        <v>4138413</v>
      </c>
      <c r="AJ22" s="45">
        <f t="shared" si="54"/>
        <v>183.28373769391126</v>
      </c>
      <c r="AK22" s="14">
        <f t="shared" si="55"/>
        <v>1799870</v>
      </c>
      <c r="AL22" s="45">
        <f t="shared" si="56"/>
        <v>43.491792626787131</v>
      </c>
    </row>
    <row r="23" spans="2:38" ht="15" customHeight="1">
      <c r="B23" s="6"/>
      <c r="C23" s="6"/>
      <c r="D23" s="15">
        <f>SUM(D17:D22)</f>
        <v>20355422</v>
      </c>
      <c r="E23" s="15">
        <f>SUM(E17:E22)</f>
        <v>25894027.5</v>
      </c>
      <c r="F23" s="15">
        <f>SUM(F17:F22)</f>
        <v>27547608.5</v>
      </c>
      <c r="G23" s="33">
        <f t="shared" ref="G23:G24" si="57">E23-D23</f>
        <v>5538605.5</v>
      </c>
      <c r="H23" s="33">
        <f t="shared" ref="H23:H24" si="58">F23-E23</f>
        <v>1653581</v>
      </c>
      <c r="K23" s="6"/>
      <c r="L23" s="6"/>
      <c r="M23" s="15">
        <f>SUM(M17:M22)</f>
        <v>20355422</v>
      </c>
      <c r="N23" s="40">
        <f t="shared" si="3"/>
        <v>0.46391848769035876</v>
      </c>
      <c r="O23" s="15">
        <f>SUM(O17:O22)</f>
        <v>25894027.5</v>
      </c>
      <c r="P23" s="40">
        <f t="shared" si="4"/>
        <v>0.54016081146444739</v>
      </c>
      <c r="Q23" s="15">
        <f>SUM(Q17:Q22)</f>
        <v>27547608.5</v>
      </c>
      <c r="R23" s="40">
        <f t="shared" si="5"/>
        <v>0.52902745251340777</v>
      </c>
      <c r="U23" s="6"/>
      <c r="V23" s="6"/>
      <c r="W23" s="15">
        <f>SUM(W17:W22)</f>
        <v>20355422</v>
      </c>
      <c r="X23" s="46">
        <f t="shared" si="31"/>
        <v>100</v>
      </c>
      <c r="Y23" s="15">
        <f>SUM(Y17:Y22)</f>
        <v>25894027.5</v>
      </c>
      <c r="Z23" s="46">
        <f t="shared" si="33"/>
        <v>127.20948502074778</v>
      </c>
      <c r="AA23" s="15">
        <f>SUM(AA17:AA22)</f>
        <v>27547608.5</v>
      </c>
      <c r="AB23" s="46">
        <f t="shared" si="34"/>
        <v>135.33302576581318</v>
      </c>
      <c r="AE23" s="6"/>
      <c r="AF23" s="6"/>
      <c r="AG23" s="15">
        <f>SUM(AG17:AG22)</f>
        <v>20355422</v>
      </c>
      <c r="AH23" s="46">
        <f t="shared" si="35"/>
        <v>100</v>
      </c>
      <c r="AI23" s="15">
        <f>SUM(AI17:AI22)</f>
        <v>25894027.5</v>
      </c>
      <c r="AJ23" s="46">
        <f t="shared" si="36"/>
        <v>127.20948502074778</v>
      </c>
      <c r="AK23" s="15">
        <f>SUM(AK17:AK22)</f>
        <v>27547608.5</v>
      </c>
      <c r="AL23" s="46">
        <f t="shared" si="37"/>
        <v>106.38595521689315</v>
      </c>
    </row>
    <row r="24" spans="2:38" ht="15" customHeight="1" thickBot="1">
      <c r="B24" s="10" t="str">
        <f>'Balanço Contab'!B24</f>
        <v>Total do Ativo</v>
      </c>
      <c r="C24" s="11"/>
      <c r="D24" s="16">
        <f>D15+D23</f>
        <v>43877152</v>
      </c>
      <c r="E24" s="16">
        <f>E15+E23</f>
        <v>47937627</v>
      </c>
      <c r="F24" s="16">
        <f>F15+F23</f>
        <v>52072172</v>
      </c>
      <c r="G24" s="34">
        <f t="shared" si="57"/>
        <v>4060475</v>
      </c>
      <c r="H24" s="34">
        <f t="shared" si="58"/>
        <v>4134545</v>
      </c>
      <c r="K24" s="10" t="str">
        <f t="shared" si="0"/>
        <v>Total do Ativo</v>
      </c>
      <c r="L24" s="11"/>
      <c r="M24" s="16">
        <f>M15+M23</f>
        <v>43877152</v>
      </c>
      <c r="N24" s="41">
        <f t="shared" si="3"/>
        <v>1</v>
      </c>
      <c r="O24" s="16">
        <f>O15+O23</f>
        <v>47937627</v>
      </c>
      <c r="P24" s="41">
        <f t="shared" si="4"/>
        <v>1</v>
      </c>
      <c r="Q24" s="16">
        <f>Q15+Q23</f>
        <v>52072172</v>
      </c>
      <c r="R24" s="41">
        <f t="shared" si="5"/>
        <v>1</v>
      </c>
      <c r="U24" s="10" t="str">
        <f t="shared" si="1"/>
        <v>Total do Ativo</v>
      </c>
      <c r="V24" s="11"/>
      <c r="W24" s="16">
        <f>W15+W23</f>
        <v>43877152</v>
      </c>
      <c r="X24" s="47">
        <f t="shared" si="31"/>
        <v>100</v>
      </c>
      <c r="Y24" s="16">
        <f>Y15+Y23</f>
        <v>47937627</v>
      </c>
      <c r="Z24" s="47">
        <f t="shared" si="33"/>
        <v>109.25418997112666</v>
      </c>
      <c r="AA24" s="16">
        <f>AA15+AA23</f>
        <v>52072172</v>
      </c>
      <c r="AB24" s="47">
        <f t="shared" si="34"/>
        <v>118.67719217509833</v>
      </c>
      <c r="AE24" s="10" t="str">
        <f t="shared" si="2"/>
        <v>Total do Ativo</v>
      </c>
      <c r="AF24" s="11"/>
      <c r="AG24" s="16">
        <f>AG15+AG23</f>
        <v>43877152</v>
      </c>
      <c r="AH24" s="47">
        <f t="shared" si="35"/>
        <v>100</v>
      </c>
      <c r="AI24" s="16">
        <f>AI15+AI23</f>
        <v>47937627</v>
      </c>
      <c r="AJ24" s="47">
        <f t="shared" si="36"/>
        <v>109.25418997112666</v>
      </c>
      <c r="AK24" s="16">
        <f>AK15+AK23</f>
        <v>52072172</v>
      </c>
      <c r="AL24" s="47">
        <f t="shared" si="37"/>
        <v>108.62484286091174</v>
      </c>
    </row>
    <row r="25" spans="2:38" ht="15" customHeight="1" thickTop="1">
      <c r="B25" s="310" t="s">
        <v>5</v>
      </c>
      <c r="C25" s="310" t="s">
        <v>6</v>
      </c>
      <c r="D25" s="309" t="s">
        <v>7</v>
      </c>
      <c r="E25" s="309"/>
      <c r="F25" s="309"/>
      <c r="G25" s="321" t="s">
        <v>187</v>
      </c>
      <c r="H25" s="321"/>
      <c r="K25" s="310" t="s">
        <v>5</v>
      </c>
      <c r="L25" s="310" t="s">
        <v>6</v>
      </c>
      <c r="M25" s="322">
        <v>2022</v>
      </c>
      <c r="N25" s="323"/>
      <c r="O25" s="322">
        <v>2023</v>
      </c>
      <c r="P25" s="323"/>
      <c r="Q25" s="322">
        <v>2024</v>
      </c>
      <c r="R25" s="323"/>
      <c r="U25" s="310" t="s">
        <v>5</v>
      </c>
      <c r="V25" s="310" t="s">
        <v>6</v>
      </c>
      <c r="W25" s="322">
        <v>2022</v>
      </c>
      <c r="X25" s="323"/>
      <c r="Y25" s="322">
        <v>2023</v>
      </c>
      <c r="Z25" s="323"/>
      <c r="AA25" s="322">
        <v>2024</v>
      </c>
      <c r="AB25" s="323"/>
      <c r="AE25" s="310" t="s">
        <v>5</v>
      </c>
      <c r="AF25" s="310" t="s">
        <v>6</v>
      </c>
      <c r="AG25" s="322">
        <v>2022</v>
      </c>
      <c r="AH25" s="323"/>
      <c r="AI25" s="322">
        <v>2023</v>
      </c>
      <c r="AJ25" s="323"/>
      <c r="AK25" s="322">
        <v>2024</v>
      </c>
      <c r="AL25" s="323"/>
    </row>
    <row r="26" spans="2:38" ht="15" customHeight="1">
      <c r="B26" s="310"/>
      <c r="C26" s="310"/>
      <c r="D26" s="9">
        <v>2022</v>
      </c>
      <c r="E26" s="9">
        <v>2023</v>
      </c>
      <c r="F26" s="9">
        <v>2024</v>
      </c>
      <c r="G26" s="26" t="s">
        <v>188</v>
      </c>
      <c r="H26" s="26" t="s">
        <v>189</v>
      </c>
      <c r="K26" s="310"/>
      <c r="L26" s="310"/>
      <c r="M26" s="9" t="s">
        <v>190</v>
      </c>
      <c r="N26" s="9" t="s">
        <v>191</v>
      </c>
      <c r="O26" s="9" t="s">
        <v>190</v>
      </c>
      <c r="P26" s="9" t="s">
        <v>191</v>
      </c>
      <c r="Q26" s="9" t="s">
        <v>190</v>
      </c>
      <c r="R26" s="9" t="s">
        <v>191</v>
      </c>
      <c r="U26" s="310"/>
      <c r="V26" s="310"/>
      <c r="W26" s="9" t="s">
        <v>190</v>
      </c>
      <c r="X26" s="9" t="s">
        <v>192</v>
      </c>
      <c r="Y26" s="9" t="s">
        <v>190</v>
      </c>
      <c r="Z26" s="9" t="s">
        <v>192</v>
      </c>
      <c r="AA26" s="9" t="s">
        <v>190</v>
      </c>
      <c r="AB26" s="9" t="s">
        <v>192</v>
      </c>
      <c r="AE26" s="310"/>
      <c r="AF26" s="310"/>
      <c r="AG26" s="9" t="s">
        <v>190</v>
      </c>
      <c r="AH26" s="9" t="s">
        <v>193</v>
      </c>
      <c r="AI26" s="9" t="s">
        <v>190</v>
      </c>
      <c r="AJ26" s="9" t="s">
        <v>193</v>
      </c>
      <c r="AK26" s="9" t="s">
        <v>190</v>
      </c>
      <c r="AL26" s="9" t="s">
        <v>193</v>
      </c>
    </row>
    <row r="27" spans="2:38" ht="15" customHeight="1">
      <c r="B27" s="5" t="str">
        <f>'Balanço Contab'!B25</f>
        <v>CAPITAL PRÓPRIO PASSIVO</v>
      </c>
      <c r="C27" s="6"/>
      <c r="D27" s="14"/>
      <c r="E27" s="14"/>
      <c r="F27" s="14"/>
      <c r="G27" s="32"/>
      <c r="H27" s="32"/>
      <c r="K27" s="5" t="str">
        <f>B27</f>
        <v>CAPITAL PRÓPRIO PASSIVO</v>
      </c>
      <c r="L27" s="6"/>
      <c r="M27" s="14"/>
      <c r="N27" s="32"/>
      <c r="O27" s="14"/>
      <c r="P27" s="32"/>
      <c r="Q27" s="14"/>
      <c r="R27" s="32"/>
      <c r="U27" s="5" t="str">
        <f>K27</f>
        <v>CAPITAL PRÓPRIO PASSIVO</v>
      </c>
      <c r="V27" s="6"/>
      <c r="W27" s="14"/>
      <c r="X27" s="32"/>
      <c r="Y27" s="14"/>
      <c r="Z27" s="32"/>
      <c r="AA27" s="14"/>
      <c r="AB27" s="32"/>
      <c r="AE27" s="5" t="str">
        <f>U27</f>
        <v>CAPITAL PRÓPRIO PASSIVO</v>
      </c>
      <c r="AF27" s="6"/>
      <c r="AG27" s="14"/>
      <c r="AH27" s="32"/>
      <c r="AI27" s="14"/>
      <c r="AJ27" s="32"/>
      <c r="AK27" s="14"/>
      <c r="AL27" s="32"/>
    </row>
    <row r="28" spans="2:38" ht="15" customHeight="1">
      <c r="B28" s="5" t="str">
        <f>'Balanço Contab'!B26</f>
        <v>Capital Próprio</v>
      </c>
      <c r="C28" s="6"/>
      <c r="D28" s="14"/>
      <c r="E28" s="14"/>
      <c r="F28" s="14"/>
      <c r="G28" s="32"/>
      <c r="H28" s="32"/>
      <c r="K28" s="5" t="str">
        <f>B28</f>
        <v>Capital Próprio</v>
      </c>
      <c r="L28" s="6"/>
      <c r="M28" s="14"/>
      <c r="N28" s="32"/>
      <c r="O28" s="14"/>
      <c r="P28" s="32"/>
      <c r="Q28" s="14"/>
      <c r="R28" s="32"/>
      <c r="U28" s="5" t="str">
        <f t="shared" ref="U28:U53" si="59">K28</f>
        <v>Capital Próprio</v>
      </c>
      <c r="V28" s="6"/>
      <c r="W28" s="14"/>
      <c r="X28" s="32"/>
      <c r="Y28" s="14"/>
      <c r="Z28" s="32"/>
      <c r="AA28" s="14"/>
      <c r="AB28" s="32"/>
      <c r="AE28" s="5" t="str">
        <f t="shared" ref="AE28:AE36" si="60">U28</f>
        <v>Capital Próprio</v>
      </c>
      <c r="AF28" s="6"/>
      <c r="AG28" s="14"/>
      <c r="AH28" s="32"/>
      <c r="AI28" s="14"/>
      <c r="AJ28" s="32"/>
      <c r="AK28" s="14"/>
      <c r="AL28" s="32"/>
    </row>
    <row r="29" spans="2:38" ht="15" customHeight="1">
      <c r="B29" s="6" t="str">
        <f>'Balanço Contab'!B27</f>
        <v>Capital realizado</v>
      </c>
      <c r="C29" s="6"/>
      <c r="D29" s="14">
        <f>'Balanço Contab'!D27</f>
        <v>11740455</v>
      </c>
      <c r="E29" s="14">
        <f>'Balanço Contab'!E27</f>
        <v>11740455</v>
      </c>
      <c r="F29" s="14">
        <f>'Balanço Contab'!F27</f>
        <v>11740455</v>
      </c>
      <c r="G29" s="32">
        <f>E29-D29</f>
        <v>0</v>
      </c>
      <c r="H29" s="32">
        <f>F29-E29</f>
        <v>0</v>
      </c>
      <c r="K29" s="6" t="str">
        <f>B29</f>
        <v>Capital realizado</v>
      </c>
      <c r="L29" s="6"/>
      <c r="M29" s="14">
        <f>D29</f>
        <v>11740455</v>
      </c>
      <c r="N29" s="39">
        <f>M29/$M$53</f>
        <v>0.2675755937851208</v>
      </c>
      <c r="O29" s="14">
        <f>E29</f>
        <v>11740455</v>
      </c>
      <c r="P29" s="39">
        <f>O29/$O$53</f>
        <v>0.24491105911437794</v>
      </c>
      <c r="Q29" s="14">
        <f>F29</f>
        <v>11740455</v>
      </c>
      <c r="R29" s="39">
        <f>Q29/$Q$53</f>
        <v>0.22546505261966027</v>
      </c>
      <c r="U29" s="6" t="str">
        <f>B29</f>
        <v>Capital realizado</v>
      </c>
      <c r="V29" s="6"/>
      <c r="W29" s="14">
        <f>D29</f>
        <v>11740455</v>
      </c>
      <c r="X29" s="45">
        <f>(W29/W29)*100</f>
        <v>100</v>
      </c>
      <c r="Y29" s="14">
        <f>E29</f>
        <v>11740455</v>
      </c>
      <c r="Z29" s="45">
        <f>(Y29/W29)*100</f>
        <v>100</v>
      </c>
      <c r="AA29" s="14">
        <f>F29</f>
        <v>11740455</v>
      </c>
      <c r="AB29" s="45">
        <f>(AA29/W29)*100</f>
        <v>100</v>
      </c>
      <c r="AE29" s="6" t="str">
        <f>B29</f>
        <v>Capital realizado</v>
      </c>
      <c r="AF29" s="6"/>
      <c r="AG29" s="14">
        <f>D29</f>
        <v>11740455</v>
      </c>
      <c r="AH29" s="45">
        <f>(AG29/AG29)*100</f>
        <v>100</v>
      </c>
      <c r="AI29" s="14">
        <f>E29</f>
        <v>11740455</v>
      </c>
      <c r="AJ29" s="45">
        <f>(AI29/AG29)*100</f>
        <v>100</v>
      </c>
      <c r="AK29" s="14">
        <f>F29</f>
        <v>11740455</v>
      </c>
      <c r="AL29" s="45">
        <f>(AK29/AI29)*100</f>
        <v>100</v>
      </c>
    </row>
    <row r="30" spans="2:38" ht="15" customHeight="1">
      <c r="B30" s="6" t="str">
        <f>'Balanço Contab'!B28</f>
        <v>Prémios de emissão</v>
      </c>
      <c r="C30" s="6"/>
      <c r="D30" s="14">
        <f>'Balanço Contab'!D28</f>
        <v>959545</v>
      </c>
      <c r="E30" s="14">
        <f>'Balanço Contab'!E28</f>
        <v>959545</v>
      </c>
      <c r="F30" s="14">
        <f>'Balanço Contab'!F28</f>
        <v>959545</v>
      </c>
      <c r="G30" s="32">
        <f t="shared" ref="G30:G35" si="61">E30-D30</f>
        <v>0</v>
      </c>
      <c r="H30" s="32">
        <f t="shared" ref="H30:H35" si="62">F30-E30</f>
        <v>0</v>
      </c>
      <c r="K30" s="6" t="str">
        <f t="shared" ref="K30:K35" si="63">B30</f>
        <v>Prémios de emissão</v>
      </c>
      <c r="L30" s="6"/>
      <c r="M30" s="14">
        <f t="shared" ref="M30:M35" si="64">D30</f>
        <v>959545</v>
      </c>
      <c r="N30" s="39">
        <f t="shared" ref="N30:N35" si="65">M30/$M$53</f>
        <v>2.1868898874749208E-2</v>
      </c>
      <c r="O30" s="14">
        <f t="shared" ref="O30:O35" si="66">E30</f>
        <v>959545</v>
      </c>
      <c r="P30" s="39">
        <f t="shared" ref="P30:P35" si="67">O30/$O$53</f>
        <v>2.0016531064418353E-2</v>
      </c>
      <c r="Q30" s="14">
        <f t="shared" ref="Q30:Q35" si="68">F30</f>
        <v>959545</v>
      </c>
      <c r="R30" s="39">
        <f t="shared" ref="R30:R35" si="69">Q30/$Q$53</f>
        <v>1.8427212907500767E-2</v>
      </c>
      <c r="U30" s="6" t="str">
        <f t="shared" ref="U30:U35" si="70">B30</f>
        <v>Prémios de emissão</v>
      </c>
      <c r="V30" s="6"/>
      <c r="W30" s="14">
        <f t="shared" ref="W30:W35" si="71">D30</f>
        <v>959545</v>
      </c>
      <c r="X30" s="45">
        <f t="shared" ref="X30:X35" si="72">(W30/W30)*100</f>
        <v>100</v>
      </c>
      <c r="Y30" s="14">
        <f t="shared" ref="Y30:Y35" si="73">E30</f>
        <v>959545</v>
      </c>
      <c r="Z30" s="45">
        <f t="shared" ref="Z30:Z35" si="74">(Y30/W30)*100</f>
        <v>100</v>
      </c>
      <c r="AA30" s="14">
        <f t="shared" ref="AA30:AA35" si="75">F30</f>
        <v>959545</v>
      </c>
      <c r="AB30" s="45">
        <f t="shared" ref="AB30:AB35" si="76">(AA30/W30)*100</f>
        <v>100</v>
      </c>
      <c r="AE30" s="6" t="str">
        <f t="shared" ref="AE30:AE35" si="77">B30</f>
        <v>Prémios de emissão</v>
      </c>
      <c r="AF30" s="6"/>
      <c r="AG30" s="14">
        <f t="shared" ref="AG30:AG35" si="78">D30</f>
        <v>959545</v>
      </c>
      <c r="AH30" s="45">
        <f t="shared" ref="AH30:AH35" si="79">(AG30/AG30)*100</f>
        <v>100</v>
      </c>
      <c r="AI30" s="14">
        <f t="shared" ref="AI30:AI35" si="80">E30</f>
        <v>959545</v>
      </c>
      <c r="AJ30" s="45">
        <f t="shared" ref="AJ30:AJ35" si="81">(AI30/AG30)*100</f>
        <v>100</v>
      </c>
      <c r="AK30" s="14">
        <f t="shared" ref="AK30:AK35" si="82">F30</f>
        <v>959545</v>
      </c>
      <c r="AL30" s="45">
        <f t="shared" ref="AL30:AL35" si="83">(AK30/AI30)*100</f>
        <v>100</v>
      </c>
    </row>
    <row r="31" spans="2:38" ht="15" customHeight="1">
      <c r="B31" s="6" t="str">
        <f>'Balanço Contab'!B29</f>
        <v>Reservas Legais</v>
      </c>
      <c r="C31" s="6"/>
      <c r="D31" s="14">
        <f>'Balanço Contab'!D29</f>
        <v>658278</v>
      </c>
      <c r="E31" s="14">
        <f>'Balanço Contab'!E29</f>
        <v>773685</v>
      </c>
      <c r="F31" s="14">
        <f>'Balanço Contab'!F29</f>
        <v>891080</v>
      </c>
      <c r="G31" s="32">
        <f t="shared" si="61"/>
        <v>115407</v>
      </c>
      <c r="H31" s="32">
        <f t="shared" si="62"/>
        <v>117395</v>
      </c>
      <c r="K31" s="6" t="str">
        <f t="shared" si="63"/>
        <v>Reservas Legais</v>
      </c>
      <c r="L31" s="6"/>
      <c r="M31" s="14">
        <f t="shared" si="64"/>
        <v>658278</v>
      </c>
      <c r="N31" s="39">
        <f t="shared" si="65"/>
        <v>1.5002751318043614E-2</v>
      </c>
      <c r="O31" s="14">
        <f t="shared" si="66"/>
        <v>773685</v>
      </c>
      <c r="P31" s="39">
        <f t="shared" si="67"/>
        <v>1.6139409654132443E-2</v>
      </c>
      <c r="Q31" s="14">
        <f t="shared" si="68"/>
        <v>891080</v>
      </c>
      <c r="R31" s="39">
        <f t="shared" si="69"/>
        <v>1.711240314692462E-2</v>
      </c>
      <c r="U31" s="6" t="str">
        <f t="shared" si="70"/>
        <v>Reservas Legais</v>
      </c>
      <c r="V31" s="6"/>
      <c r="W31" s="14">
        <f t="shared" si="71"/>
        <v>658278</v>
      </c>
      <c r="X31" s="45">
        <f t="shared" si="72"/>
        <v>100</v>
      </c>
      <c r="Y31" s="14">
        <f t="shared" si="73"/>
        <v>773685</v>
      </c>
      <c r="Z31" s="45">
        <f t="shared" si="74"/>
        <v>117.53165076153236</v>
      </c>
      <c r="AA31" s="14">
        <f t="shared" si="75"/>
        <v>891080</v>
      </c>
      <c r="AB31" s="45">
        <f t="shared" si="76"/>
        <v>135.36530158990578</v>
      </c>
      <c r="AE31" s="6" t="str">
        <f t="shared" si="77"/>
        <v>Reservas Legais</v>
      </c>
      <c r="AF31" s="6"/>
      <c r="AG31" s="14">
        <f t="shared" si="78"/>
        <v>658278</v>
      </c>
      <c r="AH31" s="45">
        <f t="shared" si="79"/>
        <v>100</v>
      </c>
      <c r="AI31" s="14">
        <f t="shared" si="80"/>
        <v>773685</v>
      </c>
      <c r="AJ31" s="45">
        <f t="shared" si="81"/>
        <v>117.53165076153236</v>
      </c>
      <c r="AK31" s="14">
        <f t="shared" si="82"/>
        <v>891080</v>
      </c>
      <c r="AL31" s="45">
        <f t="shared" si="83"/>
        <v>115.1734879182096</v>
      </c>
    </row>
    <row r="32" spans="2:38" ht="15" customHeight="1">
      <c r="B32" s="6" t="str">
        <f>'Balanço Contab'!B30</f>
        <v>Outras reservas</v>
      </c>
      <c r="C32" s="6"/>
      <c r="D32" s="14">
        <f>'Balanço Contab'!D30</f>
        <v>4710221</v>
      </c>
      <c r="E32" s="14">
        <f>'Balanço Contab'!E30</f>
        <v>4710221</v>
      </c>
      <c r="F32" s="14">
        <f>'Balanço Contab'!F30</f>
        <v>4710221</v>
      </c>
      <c r="G32" s="32">
        <f t="shared" si="61"/>
        <v>0</v>
      </c>
      <c r="H32" s="32">
        <f t="shared" si="62"/>
        <v>0</v>
      </c>
      <c r="K32" s="6" t="str">
        <f t="shared" si="63"/>
        <v>Outras reservas</v>
      </c>
      <c r="L32" s="6"/>
      <c r="M32" s="14">
        <f t="shared" si="64"/>
        <v>4710221</v>
      </c>
      <c r="N32" s="39">
        <f t="shared" si="65"/>
        <v>0.10735019902841461</v>
      </c>
      <c r="O32" s="14">
        <f t="shared" si="66"/>
        <v>4710221</v>
      </c>
      <c r="P32" s="39">
        <f t="shared" si="67"/>
        <v>9.8257283365319692E-2</v>
      </c>
      <c r="Q32" s="14">
        <f t="shared" si="68"/>
        <v>4710221</v>
      </c>
      <c r="R32" s="39">
        <f t="shared" si="69"/>
        <v>9.0455627623906298E-2</v>
      </c>
      <c r="U32" s="6" t="str">
        <f t="shared" si="70"/>
        <v>Outras reservas</v>
      </c>
      <c r="V32" s="6"/>
      <c r="W32" s="14">
        <f t="shared" si="71"/>
        <v>4710221</v>
      </c>
      <c r="X32" s="45">
        <f t="shared" si="72"/>
        <v>100</v>
      </c>
      <c r="Y32" s="14">
        <f t="shared" si="73"/>
        <v>4710221</v>
      </c>
      <c r="Z32" s="45">
        <f t="shared" si="74"/>
        <v>100</v>
      </c>
      <c r="AA32" s="14">
        <f t="shared" si="75"/>
        <v>4710221</v>
      </c>
      <c r="AB32" s="45">
        <f t="shared" si="76"/>
        <v>100</v>
      </c>
      <c r="AE32" s="6" t="str">
        <f t="shared" si="77"/>
        <v>Outras reservas</v>
      </c>
      <c r="AF32" s="6"/>
      <c r="AG32" s="14">
        <f t="shared" si="78"/>
        <v>4710221</v>
      </c>
      <c r="AH32" s="45">
        <f t="shared" si="79"/>
        <v>100</v>
      </c>
      <c r="AI32" s="14">
        <f t="shared" si="80"/>
        <v>4710221</v>
      </c>
      <c r="AJ32" s="45">
        <f t="shared" si="81"/>
        <v>100</v>
      </c>
      <c r="AK32" s="14">
        <f t="shared" si="82"/>
        <v>4710221</v>
      </c>
      <c r="AL32" s="45">
        <f t="shared" si="83"/>
        <v>100</v>
      </c>
    </row>
    <row r="33" spans="2:38" ht="15" customHeight="1">
      <c r="B33" s="6" t="str">
        <f>'Balanço Contab'!B31</f>
        <v>Resultados Transitados</v>
      </c>
      <c r="C33" s="6"/>
      <c r="D33" s="14">
        <f>'Balanço Contab'!D31</f>
        <v>-2266539</v>
      </c>
      <c r="E33" s="14">
        <f>'Balanço Contab'!E31</f>
        <v>-73815</v>
      </c>
      <c r="F33" s="14">
        <f>'Balanço Contab'!F31</f>
        <v>2156686</v>
      </c>
      <c r="G33" s="32">
        <f t="shared" si="61"/>
        <v>2192724</v>
      </c>
      <c r="H33" s="32">
        <f t="shared" si="62"/>
        <v>2230501</v>
      </c>
      <c r="K33" s="6" t="str">
        <f t="shared" si="63"/>
        <v>Resultados Transitados</v>
      </c>
      <c r="L33" s="6"/>
      <c r="M33" s="14">
        <f t="shared" si="64"/>
        <v>-2266539</v>
      </c>
      <c r="N33" s="39">
        <f t="shared" si="65"/>
        <v>-5.1656474877858981E-2</v>
      </c>
      <c r="O33" s="14">
        <f t="shared" si="66"/>
        <v>-73815</v>
      </c>
      <c r="P33" s="39">
        <f t="shared" si="67"/>
        <v>-1.5398133912636102E-3</v>
      </c>
      <c r="Q33" s="14">
        <f t="shared" si="68"/>
        <v>2156686</v>
      </c>
      <c r="R33" s="39">
        <f t="shared" si="69"/>
        <v>4.1417246816591403E-2</v>
      </c>
      <c r="U33" s="6" t="str">
        <f t="shared" si="70"/>
        <v>Resultados Transitados</v>
      </c>
      <c r="V33" s="6"/>
      <c r="W33" s="14">
        <f t="shared" si="71"/>
        <v>-2266539</v>
      </c>
      <c r="X33" s="45">
        <f t="shared" si="72"/>
        <v>100</v>
      </c>
      <c r="Y33" s="14">
        <f t="shared" si="73"/>
        <v>-73815</v>
      </c>
      <c r="Z33" s="50"/>
      <c r="AA33" s="14">
        <f t="shared" si="75"/>
        <v>2156686</v>
      </c>
      <c r="AB33" s="50"/>
      <c r="AE33" s="6" t="str">
        <f t="shared" si="77"/>
        <v>Resultados Transitados</v>
      </c>
      <c r="AF33" s="6"/>
      <c r="AG33" s="14">
        <f t="shared" si="78"/>
        <v>-2266539</v>
      </c>
      <c r="AH33" s="45">
        <f t="shared" si="79"/>
        <v>100</v>
      </c>
      <c r="AI33" s="14">
        <f t="shared" si="80"/>
        <v>-73815</v>
      </c>
      <c r="AJ33" s="50"/>
      <c r="AK33" s="14">
        <f t="shared" si="82"/>
        <v>2156686</v>
      </c>
      <c r="AL33" s="50"/>
    </row>
    <row r="34" spans="2:38" ht="15" customHeight="1">
      <c r="B34" s="6" t="str">
        <f>'Balanço Contab'!B32</f>
        <v>Outras variações no capital próprio</v>
      </c>
      <c r="C34" s="6"/>
      <c r="D34" s="14">
        <f>'Balanço Contab'!D32</f>
        <v>2482464</v>
      </c>
      <c r="E34" s="14">
        <f>'Balanço Contab'!E32</f>
        <v>1982771</v>
      </c>
      <c r="F34" s="14">
        <f>'Balanço Contab'!F32</f>
        <v>1622563</v>
      </c>
      <c r="G34" s="32">
        <f t="shared" si="61"/>
        <v>-499693</v>
      </c>
      <c r="H34" s="32">
        <f t="shared" si="62"/>
        <v>-360208</v>
      </c>
      <c r="K34" s="6" t="str">
        <f t="shared" si="63"/>
        <v>Outras variações no capital próprio</v>
      </c>
      <c r="L34" s="6"/>
      <c r="M34" s="14">
        <f t="shared" si="64"/>
        <v>2482464</v>
      </c>
      <c r="N34" s="39">
        <f t="shared" si="65"/>
        <v>5.6577601025700121E-2</v>
      </c>
      <c r="O34" s="14">
        <f t="shared" si="66"/>
        <v>1982771</v>
      </c>
      <c r="P34" s="39">
        <f t="shared" si="67"/>
        <v>4.1361475819401743E-2</v>
      </c>
      <c r="Q34" s="14">
        <f t="shared" si="68"/>
        <v>1622563</v>
      </c>
      <c r="R34" s="39">
        <f t="shared" si="69"/>
        <v>3.1159887089019449E-2</v>
      </c>
      <c r="U34" s="6" t="str">
        <f t="shared" si="70"/>
        <v>Outras variações no capital próprio</v>
      </c>
      <c r="V34" s="6"/>
      <c r="W34" s="14">
        <f t="shared" si="71"/>
        <v>2482464</v>
      </c>
      <c r="X34" s="45">
        <f t="shared" si="72"/>
        <v>100</v>
      </c>
      <c r="Y34" s="14">
        <f t="shared" si="73"/>
        <v>1982771</v>
      </c>
      <c r="Z34" s="45">
        <f t="shared" si="74"/>
        <v>79.871087757969505</v>
      </c>
      <c r="AA34" s="14">
        <f t="shared" si="75"/>
        <v>1622563</v>
      </c>
      <c r="AB34" s="45">
        <f t="shared" si="76"/>
        <v>65.36098811503409</v>
      </c>
      <c r="AE34" s="6" t="str">
        <f t="shared" si="77"/>
        <v>Outras variações no capital próprio</v>
      </c>
      <c r="AF34" s="6"/>
      <c r="AG34" s="14">
        <f t="shared" si="78"/>
        <v>2482464</v>
      </c>
      <c r="AH34" s="45">
        <f t="shared" si="79"/>
        <v>100</v>
      </c>
      <c r="AI34" s="14">
        <f t="shared" si="80"/>
        <v>1982771</v>
      </c>
      <c r="AJ34" s="45">
        <f t="shared" si="81"/>
        <v>79.871087757969505</v>
      </c>
      <c r="AK34" s="14">
        <f t="shared" si="82"/>
        <v>1622563</v>
      </c>
      <c r="AL34" s="45">
        <f t="shared" si="83"/>
        <v>81.833101250724354</v>
      </c>
    </row>
    <row r="35" spans="2:38" ht="15" customHeight="1">
      <c r="B35" s="6" t="str">
        <f>'Balanço Contab'!B33</f>
        <v>Resultado liquido do período</v>
      </c>
      <c r="C35" s="6"/>
      <c r="D35" s="14">
        <f>'Balanço Contab'!D33</f>
        <v>2308131</v>
      </c>
      <c r="E35" s="14">
        <f>'Balanço Contab'!E33</f>
        <v>2347896</v>
      </c>
      <c r="F35" s="14">
        <f>'Balanço Contab'!F33</f>
        <v>2279250</v>
      </c>
      <c r="G35" s="32">
        <f t="shared" si="61"/>
        <v>39765</v>
      </c>
      <c r="H35" s="32">
        <f t="shared" si="62"/>
        <v>-68646</v>
      </c>
      <c r="K35" s="6" t="str">
        <f t="shared" si="63"/>
        <v>Resultado liquido do período</v>
      </c>
      <c r="L35" s="6"/>
      <c r="M35" s="14">
        <f t="shared" si="64"/>
        <v>2308131</v>
      </c>
      <c r="N35" s="39">
        <f t="shared" si="65"/>
        <v>5.2604394195867592E-2</v>
      </c>
      <c r="O35" s="14">
        <f t="shared" si="66"/>
        <v>2347896</v>
      </c>
      <c r="P35" s="39">
        <f t="shared" si="67"/>
        <v>4.8978144037042134E-2</v>
      </c>
      <c r="Q35" s="14">
        <f t="shared" si="68"/>
        <v>2279250</v>
      </c>
      <c r="R35" s="39">
        <f t="shared" si="69"/>
        <v>4.3770980015967069E-2</v>
      </c>
      <c r="U35" s="6" t="str">
        <f t="shared" si="70"/>
        <v>Resultado liquido do período</v>
      </c>
      <c r="V35" s="6"/>
      <c r="W35" s="14">
        <f t="shared" si="71"/>
        <v>2308131</v>
      </c>
      <c r="X35" s="45">
        <f t="shared" si="72"/>
        <v>100</v>
      </c>
      <c r="Y35" s="14">
        <f t="shared" si="73"/>
        <v>2347896</v>
      </c>
      <c r="Z35" s="45">
        <f t="shared" si="74"/>
        <v>101.72282249144438</v>
      </c>
      <c r="AA35" s="14">
        <f t="shared" si="75"/>
        <v>2279250</v>
      </c>
      <c r="AB35" s="45">
        <f t="shared" si="76"/>
        <v>98.748727866832525</v>
      </c>
      <c r="AE35" s="6" t="str">
        <f t="shared" si="77"/>
        <v>Resultado liquido do período</v>
      </c>
      <c r="AF35" s="6"/>
      <c r="AG35" s="14">
        <f t="shared" si="78"/>
        <v>2308131</v>
      </c>
      <c r="AH35" s="45">
        <f t="shared" si="79"/>
        <v>100</v>
      </c>
      <c r="AI35" s="14">
        <f t="shared" si="80"/>
        <v>2347896</v>
      </c>
      <c r="AJ35" s="45">
        <f t="shared" si="81"/>
        <v>101.72282249144438</v>
      </c>
      <c r="AK35" s="14">
        <f t="shared" si="82"/>
        <v>2279250</v>
      </c>
      <c r="AL35" s="45">
        <f t="shared" si="83"/>
        <v>97.076275950893915</v>
      </c>
    </row>
    <row r="36" spans="2:38" ht="15" customHeight="1">
      <c r="B36" s="8" t="str">
        <f>'Balanço Contab'!B34</f>
        <v>Total do Capital Próprio</v>
      </c>
      <c r="C36" s="6"/>
      <c r="D36" s="15">
        <f>SUM(D29:D35)</f>
        <v>20592555</v>
      </c>
      <c r="E36" s="15">
        <f t="shared" ref="E36:F36" si="84">SUM(E29:E35)</f>
        <v>22440758</v>
      </c>
      <c r="F36" s="15">
        <f t="shared" si="84"/>
        <v>24359800</v>
      </c>
      <c r="G36" s="33">
        <f t="shared" ref="G36:G53" si="85">E36-D36</f>
        <v>1848203</v>
      </c>
      <c r="H36" s="33">
        <f t="shared" ref="H36:H53" si="86">F36-E36</f>
        <v>1919042</v>
      </c>
      <c r="K36" s="8" t="str">
        <f t="shared" ref="K36:K53" si="87">B36</f>
        <v>Total do Capital Próprio</v>
      </c>
      <c r="L36" s="6"/>
      <c r="M36" s="15">
        <f>SUM(M29:M35)</f>
        <v>20592555</v>
      </c>
      <c r="N36" s="40">
        <f t="shared" ref="N36:N43" si="88">M36/$M$53</f>
        <v>0.46932296335003693</v>
      </c>
      <c r="O36" s="15">
        <f t="shared" ref="O36" si="89">SUM(O29:O35)</f>
        <v>22440758</v>
      </c>
      <c r="P36" s="40">
        <f t="shared" ref="P36:P43" si="90">O36/$O$53</f>
        <v>0.46812408966342867</v>
      </c>
      <c r="Q36" s="15">
        <f t="shared" ref="Q36" si="91">SUM(Q29:Q35)</f>
        <v>24359800</v>
      </c>
      <c r="R36" s="40">
        <f t="shared" ref="R36:R43" si="92">Q36/$Q$53</f>
        <v>0.46780841021956987</v>
      </c>
      <c r="U36" s="8" t="str">
        <f t="shared" si="59"/>
        <v>Total do Capital Próprio</v>
      </c>
      <c r="V36" s="6"/>
      <c r="W36" s="15">
        <f t="shared" ref="W36:W53" si="93">M36</f>
        <v>20592555</v>
      </c>
      <c r="X36" s="46">
        <f t="shared" ref="X36:X53" si="94">(W36/W36)*100</f>
        <v>100</v>
      </c>
      <c r="Y36" s="15">
        <f t="shared" ref="Y36:Y53" si="95">O36</f>
        <v>22440758</v>
      </c>
      <c r="Z36" s="46">
        <f t="shared" ref="Z36:Z53" si="96">(Y36/W36)*100</f>
        <v>108.97510289519683</v>
      </c>
      <c r="AA36" s="15">
        <f t="shared" ref="AA36:AA53" si="97">Q36</f>
        <v>24359800</v>
      </c>
      <c r="AB36" s="46">
        <f t="shared" ref="AB36:AB53" si="98">(AA36/W36)*100</f>
        <v>118.29420875651419</v>
      </c>
      <c r="AE36" s="8" t="str">
        <f t="shared" si="60"/>
        <v>Total do Capital Próprio</v>
      </c>
      <c r="AF36" s="6"/>
      <c r="AG36" s="15">
        <f>SUM(AG29:AG35)</f>
        <v>20592555</v>
      </c>
      <c r="AH36" s="46">
        <f t="shared" ref="AH36:AH53" si="99">(AG36/AG36)*100</f>
        <v>100</v>
      </c>
      <c r="AI36" s="15">
        <f>SUM(AI29:AI35)</f>
        <v>22440758</v>
      </c>
      <c r="AJ36" s="46">
        <f t="shared" ref="AJ36:AJ53" si="100">(AI36/AG36)*100</f>
        <v>108.97510289519683</v>
      </c>
      <c r="AK36" s="15">
        <f>SUM(AK29:AK35)</f>
        <v>24359800</v>
      </c>
      <c r="AL36" s="46">
        <f t="shared" ref="AL36:AL53" si="101">(AK36/AI36)*100</f>
        <v>108.55159170648336</v>
      </c>
    </row>
    <row r="37" spans="2:38" ht="15" customHeight="1">
      <c r="B37" s="8"/>
      <c r="C37" s="6"/>
      <c r="D37" s="27"/>
      <c r="E37" s="27"/>
      <c r="F37" s="27"/>
      <c r="G37" s="35"/>
      <c r="H37" s="35"/>
      <c r="K37" s="8"/>
      <c r="L37" s="6"/>
      <c r="M37" s="27"/>
      <c r="N37" s="42">
        <f t="shared" si="88"/>
        <v>0</v>
      </c>
      <c r="O37" s="27"/>
      <c r="P37" s="42">
        <f t="shared" si="90"/>
        <v>0</v>
      </c>
      <c r="Q37" s="27"/>
      <c r="R37" s="42">
        <f t="shared" si="92"/>
        <v>0</v>
      </c>
      <c r="U37" s="8"/>
      <c r="V37" s="6"/>
      <c r="W37" s="27"/>
      <c r="X37" s="48"/>
      <c r="Y37" s="27"/>
      <c r="Z37" s="48"/>
      <c r="AA37" s="27"/>
      <c r="AB37" s="48"/>
      <c r="AE37" s="8"/>
      <c r="AF37" s="6"/>
      <c r="AG37" s="27"/>
      <c r="AH37" s="48"/>
      <c r="AI37" s="27"/>
      <c r="AJ37" s="48"/>
      <c r="AK37" s="27"/>
      <c r="AL37" s="48"/>
    </row>
    <row r="38" spans="2:38" ht="15" customHeight="1">
      <c r="B38" s="5" t="str">
        <f>'Balanço Contab'!B36</f>
        <v>Passivo</v>
      </c>
      <c r="C38" s="6"/>
      <c r="D38" s="14"/>
      <c r="E38" s="14"/>
      <c r="F38" s="14"/>
      <c r="G38" s="32"/>
      <c r="H38" s="32"/>
      <c r="K38" s="5" t="str">
        <f t="shared" si="87"/>
        <v>Passivo</v>
      </c>
      <c r="L38" s="6"/>
      <c r="M38" s="14"/>
      <c r="N38" s="39">
        <f t="shared" si="88"/>
        <v>0</v>
      </c>
      <c r="O38" s="14"/>
      <c r="P38" s="39">
        <f t="shared" si="90"/>
        <v>0</v>
      </c>
      <c r="Q38" s="14"/>
      <c r="R38" s="39">
        <f t="shared" si="92"/>
        <v>0</v>
      </c>
      <c r="U38" s="5" t="str">
        <f t="shared" si="59"/>
        <v>Passivo</v>
      </c>
      <c r="V38" s="6"/>
      <c r="W38" s="14"/>
      <c r="X38" s="45"/>
      <c r="Y38" s="14"/>
      <c r="Z38" s="45"/>
      <c r="AA38" s="14"/>
      <c r="AB38" s="45"/>
      <c r="AE38" s="5" t="str">
        <f t="shared" ref="AE38:AE39" si="102">U38</f>
        <v>Passivo</v>
      </c>
      <c r="AF38" s="6"/>
      <c r="AG38" s="14"/>
      <c r="AH38" s="45"/>
      <c r="AI38" s="14"/>
      <c r="AJ38" s="45"/>
      <c r="AK38" s="14"/>
      <c r="AL38" s="45"/>
    </row>
    <row r="39" spans="2:38" ht="15" customHeight="1">
      <c r="B39" s="5" t="str">
        <f>'Balanço Contab'!B37</f>
        <v>Passivo não  corrente</v>
      </c>
      <c r="C39" s="6"/>
      <c r="D39" s="14"/>
      <c r="E39" s="14"/>
      <c r="F39" s="14"/>
      <c r="G39" s="32"/>
      <c r="H39" s="32"/>
      <c r="K39" s="5" t="str">
        <f t="shared" si="87"/>
        <v>Passivo não  corrente</v>
      </c>
      <c r="L39" s="6"/>
      <c r="M39" s="14"/>
      <c r="N39" s="39">
        <f t="shared" si="88"/>
        <v>0</v>
      </c>
      <c r="O39" s="14"/>
      <c r="P39" s="39">
        <f t="shared" si="90"/>
        <v>0</v>
      </c>
      <c r="Q39" s="14"/>
      <c r="R39" s="39">
        <f t="shared" si="92"/>
        <v>0</v>
      </c>
      <c r="U39" s="5" t="str">
        <f t="shared" si="59"/>
        <v>Passivo não  corrente</v>
      </c>
      <c r="V39" s="6"/>
      <c r="W39" s="14"/>
      <c r="X39" s="45"/>
      <c r="Y39" s="14"/>
      <c r="Z39" s="45"/>
      <c r="AA39" s="14"/>
      <c r="AB39" s="45"/>
      <c r="AE39" s="5" t="str">
        <f t="shared" si="102"/>
        <v>Passivo não  corrente</v>
      </c>
      <c r="AF39" s="6"/>
      <c r="AG39" s="14"/>
      <c r="AH39" s="45"/>
      <c r="AI39" s="14"/>
      <c r="AJ39" s="45"/>
      <c r="AK39" s="14"/>
      <c r="AL39" s="45"/>
    </row>
    <row r="40" spans="2:38" ht="15" customHeight="1">
      <c r="B40" s="6" t="str">
        <f>'Balanço Contab'!B38</f>
        <v>Provisões</v>
      </c>
      <c r="C40" s="6"/>
      <c r="D40" s="14">
        <f>'Balanço Contab'!D38</f>
        <v>0</v>
      </c>
      <c r="E40" s="14">
        <f>'Balanço Contab'!E38</f>
        <v>0</v>
      </c>
      <c r="F40" s="14">
        <f>'Balanço Contab'!F38</f>
        <v>0</v>
      </c>
      <c r="G40" s="32">
        <f t="shared" si="85"/>
        <v>0</v>
      </c>
      <c r="H40" s="32">
        <f t="shared" si="86"/>
        <v>0</v>
      </c>
      <c r="K40" s="6" t="str">
        <f>B40</f>
        <v>Provisões</v>
      </c>
      <c r="L40" s="6"/>
      <c r="M40" s="14">
        <f>D40</f>
        <v>0</v>
      </c>
      <c r="N40" s="39">
        <f t="shared" si="88"/>
        <v>0</v>
      </c>
      <c r="O40" s="14">
        <f>E40</f>
        <v>0</v>
      </c>
      <c r="P40" s="39">
        <f t="shared" si="90"/>
        <v>0</v>
      </c>
      <c r="Q40" s="14">
        <f>F40</f>
        <v>0</v>
      </c>
      <c r="R40" s="39">
        <f t="shared" si="92"/>
        <v>0</v>
      </c>
      <c r="U40" s="6" t="str">
        <f>B40</f>
        <v>Provisões</v>
      </c>
      <c r="V40" s="6"/>
      <c r="W40" s="14">
        <f>D40</f>
        <v>0</v>
      </c>
      <c r="X40" s="45"/>
      <c r="Y40" s="14">
        <f>E40</f>
        <v>0</v>
      </c>
      <c r="Z40" s="45"/>
      <c r="AA40" s="14">
        <f>F40</f>
        <v>0</v>
      </c>
      <c r="AB40" s="45"/>
      <c r="AE40" s="6" t="str">
        <f>B40</f>
        <v>Provisões</v>
      </c>
      <c r="AF40" s="6"/>
      <c r="AG40" s="14">
        <f>D40</f>
        <v>0</v>
      </c>
      <c r="AH40" s="45"/>
      <c r="AI40" s="14">
        <f>E40</f>
        <v>0</v>
      </c>
      <c r="AJ40" s="45"/>
      <c r="AK40" s="14">
        <f>F40</f>
        <v>0</v>
      </c>
      <c r="AL40" s="45"/>
    </row>
    <row r="41" spans="2:38" ht="15" customHeight="1">
      <c r="B41" s="6" t="str">
        <f>'Balanço Contab'!B39</f>
        <v xml:space="preserve">Financiamentos obtidos </v>
      </c>
      <c r="C41" s="6"/>
      <c r="D41" s="14">
        <f>'Balanço Contab'!D39</f>
        <v>10408410</v>
      </c>
      <c r="E41" s="14">
        <f>'Balanço Contab'!E39</f>
        <v>9500813</v>
      </c>
      <c r="F41" s="14">
        <f>'Balanço Contab'!F39</f>
        <v>13988727</v>
      </c>
      <c r="G41" s="32">
        <f t="shared" ref="G41:G42" si="103">E41-D41</f>
        <v>-907597</v>
      </c>
      <c r="H41" s="32">
        <f t="shared" ref="H41:H42" si="104">F41-E41</f>
        <v>4487914</v>
      </c>
      <c r="K41" s="6" t="str">
        <f t="shared" ref="K41:K42" si="105">B41</f>
        <v xml:space="preserve">Financiamentos obtidos </v>
      </c>
      <c r="L41" s="6"/>
      <c r="M41" s="14">
        <f t="shared" ref="M41:M42" si="106">D41</f>
        <v>10408410</v>
      </c>
      <c r="N41" s="39">
        <f t="shared" si="88"/>
        <v>0.23721708282251319</v>
      </c>
      <c r="O41" s="14">
        <f t="shared" ref="O41:O42" si="107">E41</f>
        <v>9500813</v>
      </c>
      <c r="P41" s="39">
        <f t="shared" si="90"/>
        <v>0.19819114116766773</v>
      </c>
      <c r="Q41" s="14">
        <f t="shared" ref="Q41:Q42" si="108">F41</f>
        <v>13988727</v>
      </c>
      <c r="R41" s="39">
        <f t="shared" si="92"/>
        <v>0.26864112754889502</v>
      </c>
      <c r="U41" s="6" t="str">
        <f t="shared" ref="U41:U42" si="109">B41</f>
        <v xml:space="preserve">Financiamentos obtidos </v>
      </c>
      <c r="V41" s="6"/>
      <c r="W41" s="14">
        <f t="shared" ref="W41:W42" si="110">D41</f>
        <v>10408410</v>
      </c>
      <c r="X41" s="45">
        <f t="shared" si="94"/>
        <v>100</v>
      </c>
      <c r="Y41" s="14">
        <f t="shared" ref="Y41:Y42" si="111">E41</f>
        <v>9500813</v>
      </c>
      <c r="Z41" s="45">
        <f t="shared" si="96"/>
        <v>91.280157103726694</v>
      </c>
      <c r="AA41" s="14">
        <f t="shared" ref="AA41:AA42" si="112">F41</f>
        <v>13988727</v>
      </c>
      <c r="AB41" s="45">
        <f t="shared" si="98"/>
        <v>134.39830867538848</v>
      </c>
      <c r="AE41" s="6" t="str">
        <f t="shared" ref="AE41:AE42" si="113">B41</f>
        <v xml:space="preserve">Financiamentos obtidos </v>
      </c>
      <c r="AF41" s="6"/>
      <c r="AG41" s="14">
        <f t="shared" ref="AG41:AG42" si="114">D41</f>
        <v>10408410</v>
      </c>
      <c r="AH41" s="45">
        <f t="shared" ref="AH41:AH42" si="115">(AG41/AG41)*100</f>
        <v>100</v>
      </c>
      <c r="AI41" s="14">
        <f t="shared" ref="AI41:AI42" si="116">E41</f>
        <v>9500813</v>
      </c>
      <c r="AJ41" s="45">
        <f t="shared" ref="AJ41:AJ42" si="117">(AI41/AG41)*100</f>
        <v>91.280157103726694</v>
      </c>
      <c r="AK41" s="14">
        <f t="shared" ref="AK41:AK42" si="118">F41</f>
        <v>13988727</v>
      </c>
      <c r="AL41" s="45">
        <f t="shared" ref="AL41:AL42" si="119">(AK41/AI41)*100</f>
        <v>147.23715749378502</v>
      </c>
    </row>
    <row r="42" spans="2:38" ht="15" customHeight="1">
      <c r="B42" s="6" t="str">
        <f>'Balanço Contab'!B40</f>
        <v>Outras dívidas a pagar</v>
      </c>
      <c r="C42" s="6"/>
      <c r="D42" s="14">
        <f>'Balanço Contab'!D40</f>
        <v>3974890</v>
      </c>
      <c r="E42" s="14">
        <f>'Balanço Contab'!E40</f>
        <v>3334245</v>
      </c>
      <c r="F42" s="14">
        <f>'Balanço Contab'!F40</f>
        <v>1761814</v>
      </c>
      <c r="G42" s="32">
        <f t="shared" si="103"/>
        <v>-640645</v>
      </c>
      <c r="H42" s="32">
        <f t="shared" si="104"/>
        <v>-1572431</v>
      </c>
      <c r="K42" s="6" t="str">
        <f t="shared" si="105"/>
        <v>Outras dívidas a pagar</v>
      </c>
      <c r="L42" s="6"/>
      <c r="M42" s="14">
        <f t="shared" si="106"/>
        <v>3974890</v>
      </c>
      <c r="N42" s="39">
        <f t="shared" si="88"/>
        <v>9.0591340112503194E-2</v>
      </c>
      <c r="O42" s="14">
        <f t="shared" si="107"/>
        <v>3334245</v>
      </c>
      <c r="P42" s="39">
        <f t="shared" si="90"/>
        <v>6.9553818339818954E-2</v>
      </c>
      <c r="Q42" s="14">
        <f t="shared" si="108"/>
        <v>1761814</v>
      </c>
      <c r="R42" s="39">
        <f t="shared" si="92"/>
        <v>3.3834079362005484E-2</v>
      </c>
      <c r="U42" s="6" t="str">
        <f t="shared" si="109"/>
        <v>Outras dívidas a pagar</v>
      </c>
      <c r="V42" s="6"/>
      <c r="W42" s="14">
        <f t="shared" si="110"/>
        <v>3974890</v>
      </c>
      <c r="X42" s="45">
        <f t="shared" si="94"/>
        <v>100</v>
      </c>
      <c r="Y42" s="14">
        <f t="shared" si="111"/>
        <v>3334245</v>
      </c>
      <c r="Z42" s="45">
        <f t="shared" si="96"/>
        <v>83.882698640717095</v>
      </c>
      <c r="AA42" s="14">
        <f t="shared" si="112"/>
        <v>1761814</v>
      </c>
      <c r="AB42" s="45">
        <f t="shared" si="98"/>
        <v>44.323591344666141</v>
      </c>
      <c r="AE42" s="6" t="str">
        <f t="shared" si="113"/>
        <v>Outras dívidas a pagar</v>
      </c>
      <c r="AF42" s="6"/>
      <c r="AG42" s="14">
        <f t="shared" si="114"/>
        <v>3974890</v>
      </c>
      <c r="AH42" s="45">
        <f t="shared" si="115"/>
        <v>100</v>
      </c>
      <c r="AI42" s="14">
        <f t="shared" si="116"/>
        <v>3334245</v>
      </c>
      <c r="AJ42" s="45">
        <f t="shared" si="117"/>
        <v>83.882698640717095</v>
      </c>
      <c r="AK42" s="14">
        <f t="shared" si="118"/>
        <v>1761814</v>
      </c>
      <c r="AL42" s="45">
        <f t="shared" si="119"/>
        <v>52.839968268678518</v>
      </c>
    </row>
    <row r="43" spans="2:38" ht="15" customHeight="1">
      <c r="B43" s="6"/>
      <c r="C43" s="6"/>
      <c r="D43" s="15">
        <f>SUM(D40:D42)</f>
        <v>14383300</v>
      </c>
      <c r="E43" s="15">
        <f>SUM(E40:E42)</f>
        <v>12835058</v>
      </c>
      <c r="F43" s="15">
        <f>SUM(F40:F42)</f>
        <v>15750541</v>
      </c>
      <c r="G43" s="33">
        <f t="shared" si="85"/>
        <v>-1548242</v>
      </c>
      <c r="H43" s="33">
        <f t="shared" si="86"/>
        <v>2915483</v>
      </c>
      <c r="K43" s="6"/>
      <c r="L43" s="6"/>
      <c r="M43" s="15">
        <f>SUM(M40:M42)</f>
        <v>14383300</v>
      </c>
      <c r="N43" s="40">
        <f t="shared" si="88"/>
        <v>0.32780842293501639</v>
      </c>
      <c r="O43" s="15">
        <f>SUM(O40:O42)</f>
        <v>12835058</v>
      </c>
      <c r="P43" s="40">
        <f t="shared" si="90"/>
        <v>0.26774495950748667</v>
      </c>
      <c r="Q43" s="15">
        <f>SUM(Q40:Q42)</f>
        <v>15750541</v>
      </c>
      <c r="R43" s="40">
        <f t="shared" si="92"/>
        <v>0.30247520691090052</v>
      </c>
      <c r="U43" s="6"/>
      <c r="V43" s="6"/>
      <c r="W43" s="15">
        <f t="shared" si="93"/>
        <v>14383300</v>
      </c>
      <c r="X43" s="46">
        <f t="shared" si="94"/>
        <v>100</v>
      </c>
      <c r="Y43" s="15">
        <f t="shared" si="95"/>
        <v>12835058</v>
      </c>
      <c r="Z43" s="46">
        <f t="shared" si="96"/>
        <v>89.235836004254935</v>
      </c>
      <c r="AA43" s="15">
        <f t="shared" si="97"/>
        <v>15750541</v>
      </c>
      <c r="AB43" s="46">
        <f t="shared" si="98"/>
        <v>109.50575319989153</v>
      </c>
      <c r="AE43" s="6"/>
      <c r="AF43" s="6"/>
      <c r="AG43" s="15">
        <f>SUM(AG40:AG42)</f>
        <v>14383300</v>
      </c>
      <c r="AH43" s="46">
        <f t="shared" si="99"/>
        <v>100</v>
      </c>
      <c r="AI43" s="15">
        <f>SUM(AI40:AI42)</f>
        <v>12835058</v>
      </c>
      <c r="AJ43" s="46">
        <f t="shared" si="100"/>
        <v>89.235836004254935</v>
      </c>
      <c r="AK43" s="15">
        <f>SUM(AK40:AK42)</f>
        <v>15750541</v>
      </c>
      <c r="AL43" s="46">
        <f t="shared" si="101"/>
        <v>122.71499669109403</v>
      </c>
    </row>
    <row r="44" spans="2:38" ht="15" customHeight="1">
      <c r="B44" s="5" t="str">
        <f>'Balanço Contab'!B42</f>
        <v>Passivo Corrente</v>
      </c>
      <c r="C44" s="6"/>
      <c r="D44" s="14"/>
      <c r="E44" s="14"/>
      <c r="F44" s="14"/>
      <c r="G44" s="32"/>
      <c r="H44" s="32"/>
      <c r="K44" s="5" t="str">
        <f t="shared" si="87"/>
        <v>Passivo Corrente</v>
      </c>
      <c r="L44" s="6"/>
      <c r="M44" s="14"/>
      <c r="N44" s="39"/>
      <c r="O44" s="14"/>
      <c r="P44" s="39"/>
      <c r="Q44" s="14"/>
      <c r="R44" s="39"/>
      <c r="U44" s="5" t="str">
        <f t="shared" si="59"/>
        <v>Passivo Corrente</v>
      </c>
      <c r="V44" s="6"/>
      <c r="W44" s="14"/>
      <c r="X44" s="45"/>
      <c r="Y44" s="14"/>
      <c r="Z44" s="45"/>
      <c r="AA44" s="14"/>
      <c r="AB44" s="45"/>
      <c r="AE44" s="5" t="str">
        <f t="shared" ref="AE44" si="120">U44</f>
        <v>Passivo Corrente</v>
      </c>
      <c r="AF44" s="6"/>
      <c r="AG44" s="14"/>
      <c r="AH44" s="45"/>
      <c r="AI44" s="14"/>
      <c r="AJ44" s="45"/>
      <c r="AK44" s="14"/>
      <c r="AL44" s="45"/>
    </row>
    <row r="45" spans="2:38" ht="15" customHeight="1">
      <c r="B45" s="6" t="str">
        <f>'Balanço Contab'!B43</f>
        <v>Fornecedores</v>
      </c>
      <c r="C45" s="6"/>
      <c r="D45" s="14">
        <f>'Balanço Contab'!D43</f>
        <v>1415895</v>
      </c>
      <c r="E45" s="14">
        <f>'Balanço Contab'!E43</f>
        <v>633029</v>
      </c>
      <c r="F45" s="14">
        <f>'Balanço Contab'!F43</f>
        <v>721181</v>
      </c>
      <c r="G45" s="32">
        <f t="shared" si="85"/>
        <v>-782866</v>
      </c>
      <c r="H45" s="32">
        <f t="shared" si="86"/>
        <v>88152</v>
      </c>
      <c r="K45" s="6" t="str">
        <f>B45</f>
        <v>Fornecedores</v>
      </c>
      <c r="L45" s="6"/>
      <c r="M45" s="14">
        <f>D45</f>
        <v>1415895</v>
      </c>
      <c r="N45" s="39">
        <f>M45/$M$53</f>
        <v>3.2269528341310756E-2</v>
      </c>
      <c r="O45" s="14">
        <f>E45</f>
        <v>633029</v>
      </c>
      <c r="P45" s="39">
        <f>O45/$O$53</f>
        <v>1.3205263581361672E-2</v>
      </c>
      <c r="Q45" s="14">
        <f>F45</f>
        <v>721181</v>
      </c>
      <c r="R45" s="39">
        <f>Q45/$Q$53</f>
        <v>1.3849643145286892E-2</v>
      </c>
      <c r="U45" s="6" t="str">
        <f>B45</f>
        <v>Fornecedores</v>
      </c>
      <c r="V45" s="6"/>
      <c r="W45" s="14">
        <f>D45</f>
        <v>1415895</v>
      </c>
      <c r="X45" s="45">
        <f t="shared" si="94"/>
        <v>100</v>
      </c>
      <c r="Y45" s="14">
        <f>E45</f>
        <v>633029</v>
      </c>
      <c r="Z45" s="45">
        <f t="shared" si="96"/>
        <v>44.708753120817576</v>
      </c>
      <c r="AA45" s="14">
        <f>F45</f>
        <v>721181</v>
      </c>
      <c r="AB45" s="45">
        <f t="shared" si="98"/>
        <v>50.934638514861632</v>
      </c>
      <c r="AE45" s="6" t="str">
        <f>B45</f>
        <v>Fornecedores</v>
      </c>
      <c r="AF45" s="6"/>
      <c r="AG45" s="14">
        <f>D45</f>
        <v>1415895</v>
      </c>
      <c r="AH45" s="45">
        <f t="shared" si="99"/>
        <v>100</v>
      </c>
      <c r="AI45" s="14">
        <f>E45</f>
        <v>633029</v>
      </c>
      <c r="AJ45" s="45">
        <f t="shared" si="100"/>
        <v>44.708753120817576</v>
      </c>
      <c r="AK45" s="14">
        <f>F45</f>
        <v>721181</v>
      </c>
      <c r="AL45" s="45">
        <f t="shared" si="101"/>
        <v>113.92542837689901</v>
      </c>
    </row>
    <row r="46" spans="2:38" ht="15" customHeight="1">
      <c r="B46" s="6" t="str">
        <f>'Balanço Contab'!B44</f>
        <v>Adiantamentos de clientes</v>
      </c>
      <c r="C46" s="6"/>
      <c r="D46" s="14">
        <f>'Balanço Contab'!D44</f>
        <v>174400</v>
      </c>
      <c r="E46" s="14">
        <f>'Balanço Contab'!E44</f>
        <v>1889441</v>
      </c>
      <c r="F46" s="14">
        <f>'Balanço Contab'!F44</f>
        <v>1863058</v>
      </c>
      <c r="G46" s="32">
        <f t="shared" ref="G46:G50" si="121">E46-D46</f>
        <v>1715041</v>
      </c>
      <c r="H46" s="32">
        <f t="shared" ref="H46:H50" si="122">F46-E46</f>
        <v>-26383</v>
      </c>
      <c r="K46" s="6" t="str">
        <f t="shared" ref="K46:K50" si="123">B46</f>
        <v>Adiantamentos de clientes</v>
      </c>
      <c r="L46" s="6"/>
      <c r="M46" s="14">
        <f t="shared" ref="M46:M50" si="124">D46</f>
        <v>174400</v>
      </c>
      <c r="N46" s="39">
        <f t="shared" ref="N46:N50" si="125">M46/$M$53</f>
        <v>3.974733820463097E-3</v>
      </c>
      <c r="O46" s="14">
        <f t="shared" ref="O46:O50" si="126">E46</f>
        <v>1889441</v>
      </c>
      <c r="P46" s="39">
        <f t="shared" ref="P46:P50" si="127">O46/$O$53</f>
        <v>3.941457093819016E-2</v>
      </c>
      <c r="Q46" s="14">
        <f t="shared" ref="Q46:Q50" si="128">F46</f>
        <v>1863058</v>
      </c>
      <c r="R46" s="39">
        <f t="shared" ref="R46:R50" si="129">Q46/$Q$53</f>
        <v>3.5778380821141854E-2</v>
      </c>
      <c r="U46" s="6" t="str">
        <f t="shared" ref="U46:U50" si="130">B46</f>
        <v>Adiantamentos de clientes</v>
      </c>
      <c r="V46" s="6"/>
      <c r="W46" s="14">
        <f t="shared" ref="W46:W50" si="131">D46</f>
        <v>174400</v>
      </c>
      <c r="X46" s="45">
        <f t="shared" ref="X46:X50" si="132">(W46/W46)*100</f>
        <v>100</v>
      </c>
      <c r="Y46" s="14">
        <f t="shared" ref="Y46:Y50" si="133">E46</f>
        <v>1889441</v>
      </c>
      <c r="Z46" s="45">
        <f t="shared" ref="Z46:Z50" si="134">(Y46/W46)*100</f>
        <v>1083.3950688073396</v>
      </c>
      <c r="AA46" s="14">
        <f t="shared" ref="AA46:AA50" si="135">F46</f>
        <v>1863058</v>
      </c>
      <c r="AB46" s="45">
        <f t="shared" ref="AB46:AB50" si="136">(AA46/W46)*100</f>
        <v>1068.2672018348624</v>
      </c>
      <c r="AE46" s="6" t="str">
        <f t="shared" ref="AE46:AE50" si="137">B46</f>
        <v>Adiantamentos de clientes</v>
      </c>
      <c r="AF46" s="6"/>
      <c r="AG46" s="14">
        <f t="shared" ref="AG46:AG50" si="138">D46</f>
        <v>174400</v>
      </c>
      <c r="AH46" s="45">
        <f t="shared" ref="AH46:AH50" si="139">(AG46/AG46)*100</f>
        <v>100</v>
      </c>
      <c r="AI46" s="14">
        <f t="shared" ref="AI46:AI50" si="140">E46</f>
        <v>1889441</v>
      </c>
      <c r="AJ46" s="45">
        <f t="shared" si="100"/>
        <v>1083.3950688073396</v>
      </c>
      <c r="AK46" s="14">
        <f t="shared" ref="AK46:AK50" si="141">F46</f>
        <v>1863058</v>
      </c>
      <c r="AL46" s="45">
        <f t="shared" ref="AL46:AL50" si="142">(AK46/AI46)*100</f>
        <v>98.603661082828197</v>
      </c>
    </row>
    <row r="47" spans="2:38" ht="15" customHeight="1">
      <c r="B47" s="6" t="str">
        <f>'Balanço Contab'!B45</f>
        <v>Estado e Outros Entes Públicos</v>
      </c>
      <c r="C47" s="6"/>
      <c r="D47" s="14">
        <f>'Balanço Contab'!D45</f>
        <v>425515</v>
      </c>
      <c r="E47" s="14">
        <f>'Balanço Contab'!E45</f>
        <v>408241</v>
      </c>
      <c r="F47" s="14">
        <f>'Balanço Contab'!F45</f>
        <v>400871</v>
      </c>
      <c r="G47" s="32">
        <f t="shared" si="121"/>
        <v>-17274</v>
      </c>
      <c r="H47" s="32">
        <f t="shared" si="122"/>
        <v>-7370</v>
      </c>
      <c r="K47" s="6" t="str">
        <f t="shared" si="123"/>
        <v>Estado e Outros Entes Públicos</v>
      </c>
      <c r="L47" s="6"/>
      <c r="M47" s="14">
        <f t="shared" si="124"/>
        <v>425515</v>
      </c>
      <c r="N47" s="39">
        <f t="shared" si="125"/>
        <v>9.6978719129263442E-3</v>
      </c>
      <c r="O47" s="14">
        <f t="shared" si="126"/>
        <v>408241</v>
      </c>
      <c r="P47" s="39">
        <f t="shared" si="127"/>
        <v>8.5160869560773206E-3</v>
      </c>
      <c r="Q47" s="14">
        <f t="shared" si="128"/>
        <v>400871</v>
      </c>
      <c r="R47" s="39">
        <f t="shared" si="129"/>
        <v>7.698372942845557E-3</v>
      </c>
      <c r="U47" s="6" t="str">
        <f t="shared" si="130"/>
        <v>Estado e Outros Entes Públicos</v>
      </c>
      <c r="V47" s="6"/>
      <c r="W47" s="14">
        <f t="shared" si="131"/>
        <v>425515</v>
      </c>
      <c r="X47" s="45">
        <f t="shared" si="132"/>
        <v>100</v>
      </c>
      <c r="Y47" s="14">
        <f t="shared" si="133"/>
        <v>408241</v>
      </c>
      <c r="Z47" s="45">
        <f t="shared" si="134"/>
        <v>95.940448632833153</v>
      </c>
      <c r="AA47" s="14">
        <f t="shared" si="135"/>
        <v>400871</v>
      </c>
      <c r="AB47" s="45">
        <f t="shared" si="136"/>
        <v>94.208429785083965</v>
      </c>
      <c r="AE47" s="6" t="str">
        <f t="shared" si="137"/>
        <v>Estado e Outros Entes Públicos</v>
      </c>
      <c r="AF47" s="6"/>
      <c r="AG47" s="14">
        <f t="shared" si="138"/>
        <v>425515</v>
      </c>
      <c r="AH47" s="45">
        <f t="shared" si="139"/>
        <v>100</v>
      </c>
      <c r="AI47" s="14">
        <f t="shared" si="140"/>
        <v>408241</v>
      </c>
      <c r="AJ47" s="45">
        <f t="shared" si="100"/>
        <v>95.940448632833153</v>
      </c>
      <c r="AK47" s="14">
        <f t="shared" si="141"/>
        <v>400871</v>
      </c>
      <c r="AL47" s="45">
        <f t="shared" si="142"/>
        <v>98.194693820561866</v>
      </c>
    </row>
    <row r="48" spans="2:38" ht="15" customHeight="1">
      <c r="B48" s="6" t="str">
        <f>'Balanço Contab'!B46</f>
        <v xml:space="preserve">Financiamentos Obtidos </v>
      </c>
      <c r="C48" s="6"/>
      <c r="D48" s="14">
        <f>'Balanço Contab'!D46</f>
        <v>6052620</v>
      </c>
      <c r="E48" s="14">
        <f>'Balanço Contab'!E46</f>
        <v>8118404</v>
      </c>
      <c r="F48" s="14">
        <f>'Balanço Contab'!F46</f>
        <v>7106798</v>
      </c>
      <c r="G48" s="32">
        <f t="shared" si="121"/>
        <v>2065784</v>
      </c>
      <c r="H48" s="32">
        <f t="shared" si="122"/>
        <v>-1011606</v>
      </c>
      <c r="K48" s="6" t="str">
        <f t="shared" si="123"/>
        <v xml:space="preserve">Financiamentos Obtidos </v>
      </c>
      <c r="L48" s="6"/>
      <c r="M48" s="14">
        <f t="shared" si="124"/>
        <v>6052620</v>
      </c>
      <c r="N48" s="39">
        <f t="shared" si="125"/>
        <v>0.13794468702070728</v>
      </c>
      <c r="O48" s="14">
        <f t="shared" si="126"/>
        <v>8118404</v>
      </c>
      <c r="P48" s="39">
        <f t="shared" si="127"/>
        <v>0.16935348093054334</v>
      </c>
      <c r="Q48" s="14">
        <f t="shared" si="128"/>
        <v>7106798</v>
      </c>
      <c r="R48" s="39">
        <f t="shared" si="129"/>
        <v>0.13647976888692101</v>
      </c>
      <c r="U48" s="6" t="str">
        <f t="shared" si="130"/>
        <v xml:space="preserve">Financiamentos Obtidos </v>
      </c>
      <c r="V48" s="6"/>
      <c r="W48" s="14">
        <f t="shared" si="131"/>
        <v>6052620</v>
      </c>
      <c r="X48" s="45">
        <f t="shared" si="132"/>
        <v>100</v>
      </c>
      <c r="Y48" s="14">
        <f t="shared" si="133"/>
        <v>8118404</v>
      </c>
      <c r="Z48" s="45">
        <f t="shared" si="134"/>
        <v>134.13040964078365</v>
      </c>
      <c r="AA48" s="14">
        <f t="shared" si="135"/>
        <v>7106798</v>
      </c>
      <c r="AB48" s="45">
        <f t="shared" si="136"/>
        <v>117.41688723230601</v>
      </c>
      <c r="AE48" s="6" t="str">
        <f t="shared" si="137"/>
        <v xml:space="preserve">Financiamentos Obtidos </v>
      </c>
      <c r="AF48" s="6"/>
      <c r="AG48" s="14">
        <f t="shared" si="138"/>
        <v>6052620</v>
      </c>
      <c r="AH48" s="45">
        <f t="shared" si="139"/>
        <v>100</v>
      </c>
      <c r="AI48" s="14">
        <f t="shared" si="140"/>
        <v>8118404</v>
      </c>
      <c r="AJ48" s="45">
        <f t="shared" si="100"/>
        <v>134.13040964078365</v>
      </c>
      <c r="AK48" s="14">
        <f t="shared" si="141"/>
        <v>7106798</v>
      </c>
      <c r="AL48" s="45">
        <f t="shared" si="142"/>
        <v>87.539348867092599</v>
      </c>
    </row>
    <row r="49" spans="2:38" ht="15" customHeight="1">
      <c r="B49" s="6" t="str">
        <f>'Balanço Contab'!B47</f>
        <v>Outras dívidas a pagar</v>
      </c>
      <c r="C49" s="6"/>
      <c r="D49" s="14">
        <f>'Balanço Contab'!D47</f>
        <v>739384</v>
      </c>
      <c r="E49" s="14">
        <f>'Balanço Contab'!E47</f>
        <v>1304192</v>
      </c>
      <c r="F49" s="14">
        <f>'Balanço Contab'!F47</f>
        <v>1772055</v>
      </c>
      <c r="G49" s="32">
        <f t="shared" si="121"/>
        <v>564808</v>
      </c>
      <c r="H49" s="32">
        <f t="shared" si="122"/>
        <v>467863</v>
      </c>
      <c r="K49" s="6" t="str">
        <f t="shared" si="123"/>
        <v>Outras dívidas a pagar</v>
      </c>
      <c r="L49" s="6"/>
      <c r="M49" s="14">
        <f t="shared" si="124"/>
        <v>739384</v>
      </c>
      <c r="N49" s="39">
        <f t="shared" si="125"/>
        <v>1.6851230453608292E-2</v>
      </c>
      <c r="O49" s="14">
        <f t="shared" si="126"/>
        <v>1304192</v>
      </c>
      <c r="P49" s="39">
        <f t="shared" si="127"/>
        <v>2.7206019188225565E-2</v>
      </c>
      <c r="Q49" s="14">
        <f t="shared" si="128"/>
        <v>1772055</v>
      </c>
      <c r="R49" s="39">
        <f t="shared" si="129"/>
        <v>3.4030748707774276E-2</v>
      </c>
      <c r="U49" s="6" t="str">
        <f t="shared" si="130"/>
        <v>Outras dívidas a pagar</v>
      </c>
      <c r="V49" s="6"/>
      <c r="W49" s="14">
        <f t="shared" si="131"/>
        <v>739384</v>
      </c>
      <c r="X49" s="45">
        <f t="shared" si="132"/>
        <v>100</v>
      </c>
      <c r="Y49" s="14">
        <f t="shared" si="133"/>
        <v>1304192</v>
      </c>
      <c r="Z49" s="45">
        <f t="shared" si="134"/>
        <v>176.38899408155979</v>
      </c>
      <c r="AA49" s="14">
        <f t="shared" si="135"/>
        <v>1772055</v>
      </c>
      <c r="AB49" s="45">
        <f t="shared" si="136"/>
        <v>239.66639797453016</v>
      </c>
      <c r="AE49" s="6" t="str">
        <f t="shared" si="137"/>
        <v>Outras dívidas a pagar</v>
      </c>
      <c r="AF49" s="6"/>
      <c r="AG49" s="14">
        <f t="shared" si="138"/>
        <v>739384</v>
      </c>
      <c r="AH49" s="45">
        <f t="shared" si="139"/>
        <v>100</v>
      </c>
      <c r="AI49" s="14">
        <f t="shared" si="140"/>
        <v>1304192</v>
      </c>
      <c r="AJ49" s="45">
        <f t="shared" si="100"/>
        <v>176.38899408155979</v>
      </c>
      <c r="AK49" s="14">
        <f t="shared" si="141"/>
        <v>1772055</v>
      </c>
      <c r="AL49" s="45">
        <f t="shared" si="142"/>
        <v>135.87378238786926</v>
      </c>
    </row>
    <row r="50" spans="2:38" ht="15" customHeight="1">
      <c r="B50" s="6" t="str">
        <f>'Balanço Contab'!B48</f>
        <v>Diferimentos</v>
      </c>
      <c r="C50" s="6"/>
      <c r="D50" s="14">
        <f>'Balanço Contab'!D48</f>
        <v>93483</v>
      </c>
      <c r="E50" s="14">
        <f>'Balanço Contab'!E48</f>
        <v>308504</v>
      </c>
      <c r="F50" s="14">
        <f>'Balanço Contab'!F48</f>
        <v>97868</v>
      </c>
      <c r="G50" s="32">
        <f t="shared" si="121"/>
        <v>215021</v>
      </c>
      <c r="H50" s="32">
        <f t="shared" si="122"/>
        <v>-210636</v>
      </c>
      <c r="K50" s="6" t="str">
        <f t="shared" si="123"/>
        <v>Diferimentos</v>
      </c>
      <c r="L50" s="6"/>
      <c r="M50" s="14">
        <f t="shared" si="124"/>
        <v>93483</v>
      </c>
      <c r="N50" s="39">
        <f t="shared" si="125"/>
        <v>2.1305621659309156E-3</v>
      </c>
      <c r="O50" s="14">
        <f t="shared" si="126"/>
        <v>308504</v>
      </c>
      <c r="P50" s="39">
        <f t="shared" si="127"/>
        <v>6.435529234686565E-3</v>
      </c>
      <c r="Q50" s="14">
        <f t="shared" si="128"/>
        <v>97868</v>
      </c>
      <c r="R50" s="39">
        <f t="shared" si="129"/>
        <v>1.8794683655600154E-3</v>
      </c>
      <c r="U50" s="6" t="str">
        <f t="shared" si="130"/>
        <v>Diferimentos</v>
      </c>
      <c r="V50" s="6"/>
      <c r="W50" s="14">
        <f t="shared" si="131"/>
        <v>93483</v>
      </c>
      <c r="X50" s="45">
        <f t="shared" si="132"/>
        <v>100</v>
      </c>
      <c r="Y50" s="14">
        <f t="shared" si="133"/>
        <v>308504</v>
      </c>
      <c r="Z50" s="45">
        <f t="shared" si="134"/>
        <v>330.01080410341984</v>
      </c>
      <c r="AA50" s="14">
        <f t="shared" si="135"/>
        <v>97868</v>
      </c>
      <c r="AB50" s="45">
        <f t="shared" si="136"/>
        <v>104.69069242536075</v>
      </c>
      <c r="AE50" s="6" t="str">
        <f t="shared" si="137"/>
        <v>Diferimentos</v>
      </c>
      <c r="AF50" s="6"/>
      <c r="AG50" s="14">
        <f t="shared" si="138"/>
        <v>93483</v>
      </c>
      <c r="AH50" s="45">
        <f t="shared" si="139"/>
        <v>100</v>
      </c>
      <c r="AI50" s="14">
        <f t="shared" si="140"/>
        <v>308504</v>
      </c>
      <c r="AJ50" s="45">
        <f t="shared" si="100"/>
        <v>330.01080410341984</v>
      </c>
      <c r="AK50" s="14">
        <f t="shared" si="141"/>
        <v>97868</v>
      </c>
      <c r="AL50" s="45">
        <f t="shared" si="142"/>
        <v>31.723413634831317</v>
      </c>
    </row>
    <row r="51" spans="2:38" ht="15" customHeight="1">
      <c r="B51" s="6"/>
      <c r="C51" s="6"/>
      <c r="D51" s="15">
        <f>SUM(D45:D50)</f>
        <v>8901297</v>
      </c>
      <c r="E51" s="15">
        <f>SUM(E45:E50)</f>
        <v>12661811</v>
      </c>
      <c r="F51" s="15">
        <f>SUM(F45:F50)</f>
        <v>11961831</v>
      </c>
      <c r="G51" s="33">
        <f t="shared" si="85"/>
        <v>3760514</v>
      </c>
      <c r="H51" s="33">
        <f t="shared" si="86"/>
        <v>-699980</v>
      </c>
      <c r="K51" s="6"/>
      <c r="L51" s="6"/>
      <c r="M51" s="15">
        <f>SUM(M45:M50)</f>
        <v>8901297</v>
      </c>
      <c r="N51" s="40">
        <f>M51/$M$53</f>
        <v>0.20286861371494669</v>
      </c>
      <c r="O51" s="15">
        <f>SUM(O45:O50)</f>
        <v>12661811</v>
      </c>
      <c r="P51" s="40">
        <f>O51/$O$53</f>
        <v>0.26413095082908461</v>
      </c>
      <c r="Q51" s="15">
        <f>SUM(Q45:Q50)</f>
        <v>11961831</v>
      </c>
      <c r="R51" s="40">
        <f>Q51/$Q$53</f>
        <v>0.22971638286952961</v>
      </c>
      <c r="U51" s="6"/>
      <c r="V51" s="6"/>
      <c r="W51" s="15">
        <f t="shared" si="93"/>
        <v>8901297</v>
      </c>
      <c r="X51" s="46">
        <f t="shared" si="94"/>
        <v>100</v>
      </c>
      <c r="Y51" s="15">
        <f t="shared" si="95"/>
        <v>12661811</v>
      </c>
      <c r="Z51" s="46">
        <f t="shared" si="96"/>
        <v>142.246809650324</v>
      </c>
      <c r="AA51" s="15">
        <f t="shared" si="97"/>
        <v>11961831</v>
      </c>
      <c r="AB51" s="46">
        <f t="shared" si="98"/>
        <v>134.38301182400721</v>
      </c>
      <c r="AE51" s="6"/>
      <c r="AF51" s="6"/>
      <c r="AG51" s="15">
        <f>SUM(AG45:AG50)</f>
        <v>8901297</v>
      </c>
      <c r="AH51" s="46">
        <f t="shared" si="99"/>
        <v>100</v>
      </c>
      <c r="AI51" s="15">
        <f>SUM(AI45:AI50)</f>
        <v>12661811</v>
      </c>
      <c r="AJ51" s="46">
        <f t="shared" si="100"/>
        <v>142.246809650324</v>
      </c>
      <c r="AK51" s="15">
        <f>SUM(AK45:AK50)</f>
        <v>11961831</v>
      </c>
      <c r="AL51" s="46">
        <f t="shared" si="101"/>
        <v>94.471722883874989</v>
      </c>
    </row>
    <row r="52" spans="2:38" ht="15" customHeight="1">
      <c r="B52" s="8" t="str">
        <f>'Balanço Contab'!B50</f>
        <v>Total do Passivo</v>
      </c>
      <c r="C52" s="6"/>
      <c r="D52" s="15">
        <f>D43+D51</f>
        <v>23284597</v>
      </c>
      <c r="E52" s="15">
        <f>E43+E51</f>
        <v>25496869</v>
      </c>
      <c r="F52" s="15">
        <f>F43+F51</f>
        <v>27712372</v>
      </c>
      <c r="G52" s="33">
        <f t="shared" si="85"/>
        <v>2212272</v>
      </c>
      <c r="H52" s="33">
        <f t="shared" si="86"/>
        <v>2215503</v>
      </c>
      <c r="K52" s="8" t="str">
        <f t="shared" si="87"/>
        <v>Total do Passivo</v>
      </c>
      <c r="L52" s="6"/>
      <c r="M52" s="15">
        <f>M43+M51</f>
        <v>23284597</v>
      </c>
      <c r="N52" s="40">
        <f>M52/$M$53</f>
        <v>0.53067703664996302</v>
      </c>
      <c r="O52" s="15">
        <f>O43+O51</f>
        <v>25496869</v>
      </c>
      <c r="P52" s="40">
        <f>O52/$O$53</f>
        <v>0.53187591033657133</v>
      </c>
      <c r="Q52" s="15">
        <f>Q43+Q51</f>
        <v>27712372</v>
      </c>
      <c r="R52" s="40">
        <f>Q52/$Q$53</f>
        <v>0.53219158978043013</v>
      </c>
      <c r="U52" s="8" t="str">
        <f t="shared" si="59"/>
        <v>Total do Passivo</v>
      </c>
      <c r="V52" s="6"/>
      <c r="W52" s="15">
        <f t="shared" si="93"/>
        <v>23284597</v>
      </c>
      <c r="X52" s="46">
        <f t="shared" si="94"/>
        <v>100</v>
      </c>
      <c r="Y52" s="15">
        <f t="shared" si="95"/>
        <v>25496869</v>
      </c>
      <c r="Z52" s="46">
        <f t="shared" si="96"/>
        <v>109.50101047486456</v>
      </c>
      <c r="AA52" s="15">
        <f t="shared" si="97"/>
        <v>27712372</v>
      </c>
      <c r="AB52" s="46">
        <f t="shared" si="98"/>
        <v>119.01589707565049</v>
      </c>
      <c r="AE52" s="8" t="str">
        <f t="shared" ref="AE52:AE53" si="143">U52</f>
        <v>Total do Passivo</v>
      </c>
      <c r="AF52" s="6"/>
      <c r="AG52" s="15">
        <f>AG43+AG51</f>
        <v>23284597</v>
      </c>
      <c r="AH52" s="46">
        <f t="shared" si="99"/>
        <v>100</v>
      </c>
      <c r="AI52" s="15">
        <f>AI43+AI51</f>
        <v>25496869</v>
      </c>
      <c r="AJ52" s="46">
        <f t="shared" si="100"/>
        <v>109.50101047486456</v>
      </c>
      <c r="AK52" s="15">
        <f>AK43+AK51</f>
        <v>27712372</v>
      </c>
      <c r="AL52" s="46">
        <f t="shared" si="101"/>
        <v>108.68931397027612</v>
      </c>
    </row>
    <row r="53" spans="2:38" ht="15" customHeight="1" thickBot="1">
      <c r="B53" s="10" t="str">
        <f>'Balanço Contab'!B51</f>
        <v>Total do Capital Próprio e do Passivo</v>
      </c>
      <c r="C53" s="11"/>
      <c r="D53" s="17">
        <f>D36+D52</f>
        <v>43877152</v>
      </c>
      <c r="E53" s="17">
        <f>E36+E52</f>
        <v>47937627</v>
      </c>
      <c r="F53" s="17">
        <f>F36+F52</f>
        <v>52072172</v>
      </c>
      <c r="G53" s="36">
        <f t="shared" si="85"/>
        <v>4060475</v>
      </c>
      <c r="H53" s="36">
        <f t="shared" si="86"/>
        <v>4134545</v>
      </c>
      <c r="K53" s="10" t="str">
        <f t="shared" si="87"/>
        <v>Total do Capital Próprio e do Passivo</v>
      </c>
      <c r="L53" s="11"/>
      <c r="M53" s="17">
        <f>M36+M52</f>
        <v>43877152</v>
      </c>
      <c r="N53" s="43">
        <f>M53/$M$53</f>
        <v>1</v>
      </c>
      <c r="O53" s="17">
        <f>O36+O52</f>
        <v>47937627</v>
      </c>
      <c r="P53" s="43">
        <f>O53/$O$53</f>
        <v>1</v>
      </c>
      <c r="Q53" s="17">
        <f>Q36+Q52</f>
        <v>52072172</v>
      </c>
      <c r="R53" s="43">
        <f>Q53/$Q$53</f>
        <v>1</v>
      </c>
      <c r="U53" s="10" t="str">
        <f t="shared" si="59"/>
        <v>Total do Capital Próprio e do Passivo</v>
      </c>
      <c r="V53" s="11"/>
      <c r="W53" s="17">
        <f t="shared" si="93"/>
        <v>43877152</v>
      </c>
      <c r="X53" s="49">
        <f t="shared" si="94"/>
        <v>100</v>
      </c>
      <c r="Y53" s="17">
        <f t="shared" si="95"/>
        <v>47937627</v>
      </c>
      <c r="Z53" s="49">
        <f t="shared" si="96"/>
        <v>109.25418997112666</v>
      </c>
      <c r="AA53" s="17">
        <f t="shared" si="97"/>
        <v>52072172</v>
      </c>
      <c r="AB53" s="49">
        <f t="shared" si="98"/>
        <v>118.67719217509833</v>
      </c>
      <c r="AE53" s="10" t="str">
        <f t="shared" si="143"/>
        <v>Total do Capital Próprio e do Passivo</v>
      </c>
      <c r="AF53" s="11"/>
      <c r="AG53" s="17">
        <f>AG36+AG52</f>
        <v>43877152</v>
      </c>
      <c r="AH53" s="49">
        <f t="shared" si="99"/>
        <v>100</v>
      </c>
      <c r="AI53" s="17">
        <f>AI36+AI52</f>
        <v>47937627</v>
      </c>
      <c r="AJ53" s="49">
        <f t="shared" si="100"/>
        <v>109.25418997112666</v>
      </c>
      <c r="AK53" s="17">
        <f>AK36+AK52</f>
        <v>52072172</v>
      </c>
      <c r="AL53" s="49">
        <f t="shared" si="101"/>
        <v>108.62484286091174</v>
      </c>
    </row>
    <row r="54" spans="2:38" ht="15" customHeight="1" thickTop="1"/>
    <row r="55" spans="2:38" ht="15" customHeight="1">
      <c r="D55" s="18">
        <f>D53-D24</f>
        <v>0</v>
      </c>
      <c r="E55" s="18">
        <f>E53-E24</f>
        <v>0</v>
      </c>
      <c r="F55" s="18">
        <f>F53-F24</f>
        <v>0</v>
      </c>
      <c r="G55" s="18">
        <f>G53-G24</f>
        <v>0</v>
      </c>
      <c r="H55" s="18">
        <f>H53-H24</f>
        <v>0</v>
      </c>
      <c r="M55" s="18">
        <f t="shared" ref="M55:R55" si="144">(M15+M23)-(M36+M43+M51)</f>
        <v>0</v>
      </c>
      <c r="N55" s="18">
        <f t="shared" si="144"/>
        <v>0</v>
      </c>
      <c r="O55" s="18">
        <f t="shared" si="144"/>
        <v>0</v>
      </c>
      <c r="P55" s="18">
        <f t="shared" si="144"/>
        <v>0</v>
      </c>
      <c r="Q55" s="18">
        <f t="shared" si="144"/>
        <v>0</v>
      </c>
      <c r="R55" s="18">
        <f t="shared" si="144"/>
        <v>0</v>
      </c>
      <c r="W55" s="18">
        <f>(W15+W23)-(W36+W43+W51)</f>
        <v>0</v>
      </c>
      <c r="X55" s="18"/>
      <c r="Y55" s="18">
        <f>(Y15+Y23)-(Y36+Y43+Y51)</f>
        <v>0</v>
      </c>
      <c r="Z55" s="18"/>
      <c r="AA55" s="18">
        <f>(AA15+AA23)-(AA36+AA43+AA51)</f>
        <v>0</v>
      </c>
      <c r="AB55" s="18"/>
      <c r="AG55" s="18">
        <f>(AG15+AG23)-(AG36+AG43+AG51)</f>
        <v>0</v>
      </c>
      <c r="AH55" s="18"/>
      <c r="AI55" s="18">
        <f>(AI15+AI23)-(AI36+AI43+AI51)</f>
        <v>0</v>
      </c>
      <c r="AJ55" s="18"/>
      <c r="AK55" s="18">
        <f>(AK15+AK23)-(AK36+AK43+AK51)</f>
        <v>0</v>
      </c>
      <c r="AL55" s="18"/>
    </row>
    <row r="57" spans="2:38" ht="15" customHeight="1">
      <c r="B57" s="3" t="s">
        <v>120</v>
      </c>
      <c r="D57" s="18"/>
      <c r="E57" s="18"/>
      <c r="F57" s="19"/>
      <c r="H57" s="12" t="s">
        <v>183</v>
      </c>
      <c r="K57" s="3" t="s">
        <v>120</v>
      </c>
      <c r="M57" s="18"/>
      <c r="N57" s="18"/>
      <c r="O57" s="18"/>
      <c r="P57" s="18"/>
      <c r="Q57" s="19"/>
      <c r="U57" s="3" t="s">
        <v>120</v>
      </c>
      <c r="W57" s="18"/>
      <c r="X57" s="18"/>
      <c r="Y57" s="18"/>
      <c r="Z57" s="18"/>
      <c r="AA57" s="19"/>
      <c r="AE57" s="3" t="s">
        <v>120</v>
      </c>
      <c r="AG57" s="18"/>
      <c r="AH57" s="18"/>
      <c r="AI57" s="18"/>
      <c r="AJ57" s="18"/>
      <c r="AK57" s="19"/>
    </row>
    <row r="58" spans="2:38" ht="15" customHeight="1">
      <c r="B58" s="319" t="s">
        <v>121</v>
      </c>
      <c r="C58" s="310" t="s">
        <v>6</v>
      </c>
      <c r="D58" s="309" t="s">
        <v>7</v>
      </c>
      <c r="E58" s="309"/>
      <c r="F58" s="309"/>
      <c r="G58" s="321" t="s">
        <v>187</v>
      </c>
      <c r="H58" s="321"/>
      <c r="K58" s="319" t="s">
        <v>121</v>
      </c>
      <c r="L58" s="310" t="s">
        <v>6</v>
      </c>
      <c r="M58" s="322">
        <v>2022</v>
      </c>
      <c r="N58" s="323"/>
      <c r="O58" s="322">
        <v>2023</v>
      </c>
      <c r="P58" s="323"/>
      <c r="Q58" s="322">
        <v>2024</v>
      </c>
      <c r="R58" s="323"/>
      <c r="U58" s="319" t="s">
        <v>121</v>
      </c>
      <c r="V58" s="310" t="s">
        <v>6</v>
      </c>
      <c r="W58" s="322">
        <v>2022</v>
      </c>
      <c r="X58" s="323"/>
      <c r="Y58" s="322">
        <v>2023</v>
      </c>
      <c r="Z58" s="323"/>
      <c r="AA58" s="322">
        <v>2024</v>
      </c>
      <c r="AB58" s="323"/>
      <c r="AE58" s="319" t="s">
        <v>121</v>
      </c>
      <c r="AF58" s="310" t="s">
        <v>6</v>
      </c>
      <c r="AG58" s="322">
        <v>2022</v>
      </c>
      <c r="AH58" s="323"/>
      <c r="AI58" s="322">
        <v>2023</v>
      </c>
      <c r="AJ58" s="323"/>
      <c r="AK58" s="322">
        <v>2024</v>
      </c>
      <c r="AL58" s="323"/>
    </row>
    <row r="59" spans="2:38" ht="15" customHeight="1">
      <c r="B59" s="320"/>
      <c r="C59" s="310"/>
      <c r="D59" s="9">
        <v>2022</v>
      </c>
      <c r="E59" s="9">
        <v>2023</v>
      </c>
      <c r="F59" s="9">
        <v>2024</v>
      </c>
      <c r="G59" s="26" t="s">
        <v>194</v>
      </c>
      <c r="H59" s="26" t="s">
        <v>195</v>
      </c>
      <c r="K59" s="320"/>
      <c r="L59" s="310"/>
      <c r="M59" s="9" t="s">
        <v>190</v>
      </c>
      <c r="N59" s="9" t="s">
        <v>191</v>
      </c>
      <c r="O59" s="9" t="s">
        <v>190</v>
      </c>
      <c r="P59" s="9" t="s">
        <v>191</v>
      </c>
      <c r="Q59" s="9" t="s">
        <v>190</v>
      </c>
      <c r="R59" s="9" t="s">
        <v>191</v>
      </c>
      <c r="U59" s="320"/>
      <c r="V59" s="310"/>
      <c r="W59" s="9" t="s">
        <v>190</v>
      </c>
      <c r="X59" s="9" t="s">
        <v>192</v>
      </c>
      <c r="Y59" s="9" t="s">
        <v>190</v>
      </c>
      <c r="Z59" s="9" t="s">
        <v>192</v>
      </c>
      <c r="AA59" s="9" t="s">
        <v>190</v>
      </c>
      <c r="AB59" s="9" t="s">
        <v>192</v>
      </c>
      <c r="AE59" s="320"/>
      <c r="AF59" s="310"/>
      <c r="AG59" s="9" t="s">
        <v>190</v>
      </c>
      <c r="AH59" s="9" t="s">
        <v>193</v>
      </c>
      <c r="AI59" s="9" t="s">
        <v>190</v>
      </c>
      <c r="AJ59" s="9" t="s">
        <v>193</v>
      </c>
      <c r="AK59" s="9" t="s">
        <v>190</v>
      </c>
      <c r="AL59" s="9" t="s">
        <v>193</v>
      </c>
    </row>
    <row r="60" spans="2:38" ht="15" customHeight="1">
      <c r="B60" s="6" t="str">
        <f>'DR Contab'!B7</f>
        <v>Vendas e serviços prestados</v>
      </c>
      <c r="C60" s="6"/>
      <c r="D60" s="14">
        <f>'DR Contab'!D7</f>
        <v>34414527</v>
      </c>
      <c r="E60" s="14">
        <f>'DR Contab'!E7</f>
        <v>36103943</v>
      </c>
      <c r="F60" s="14">
        <f>'DR Contab'!F7</f>
        <v>39540477</v>
      </c>
      <c r="G60" s="32">
        <f>E60-D60</f>
        <v>1689416</v>
      </c>
      <c r="H60" s="32">
        <f>F60-E60</f>
        <v>3436534</v>
      </c>
      <c r="I60" s="28"/>
      <c r="K60" s="6" t="str">
        <f>B60</f>
        <v>Vendas e serviços prestados</v>
      </c>
      <c r="L60" s="6"/>
      <c r="M60" s="14">
        <f>D60</f>
        <v>34414527</v>
      </c>
      <c r="N60" s="39">
        <f>M60/$M$60</f>
        <v>1</v>
      </c>
      <c r="O60" s="14">
        <f>E60</f>
        <v>36103943</v>
      </c>
      <c r="P60" s="39">
        <f>O60/$O$60</f>
        <v>1</v>
      </c>
      <c r="Q60" s="14">
        <f>F60</f>
        <v>39540477</v>
      </c>
      <c r="R60" s="39">
        <f>Q60/$Q$60</f>
        <v>1</v>
      </c>
      <c r="U60" s="6" t="str">
        <f>K60</f>
        <v>Vendas e serviços prestados</v>
      </c>
      <c r="V60" s="6"/>
      <c r="W60" s="14">
        <f t="shared" ref="W60:AA60" si="145">M60</f>
        <v>34414527</v>
      </c>
      <c r="X60" s="45">
        <f>(W60/W60)*100</f>
        <v>100</v>
      </c>
      <c r="Y60" s="14">
        <f t="shared" si="145"/>
        <v>36103943</v>
      </c>
      <c r="Z60" s="45">
        <f>(Y60/W60)*100</f>
        <v>104.90901996125066</v>
      </c>
      <c r="AA60" s="14">
        <f t="shared" si="145"/>
        <v>39540477</v>
      </c>
      <c r="AB60" s="45">
        <f>(AA60/W60)*100</f>
        <v>114.89472745041651</v>
      </c>
      <c r="AE60" s="6" t="str">
        <f>U60</f>
        <v>Vendas e serviços prestados</v>
      </c>
      <c r="AF60" s="6"/>
      <c r="AG60" s="14">
        <f t="shared" ref="AG60:AG62" si="146">W60</f>
        <v>34414527</v>
      </c>
      <c r="AH60" s="45">
        <f>(AG60/AG60)*100</f>
        <v>100</v>
      </c>
      <c r="AI60" s="14">
        <f t="shared" ref="AI60:AI62" si="147">Y60</f>
        <v>36103943</v>
      </c>
      <c r="AJ60" s="45">
        <f>(AI60/AG60)*100</f>
        <v>104.90901996125066</v>
      </c>
      <c r="AK60" s="14">
        <f t="shared" ref="AK60:AK62" si="148">AA60</f>
        <v>39540477</v>
      </c>
      <c r="AL60" s="45">
        <f>(AK60/AI60)*100</f>
        <v>109.51844511830744</v>
      </c>
    </row>
    <row r="61" spans="2:38" ht="15" customHeight="1">
      <c r="B61" s="6" t="str">
        <f>'DR Contab'!B8</f>
        <v>Subsídios à exploração</v>
      </c>
      <c r="C61" s="6"/>
      <c r="D61" s="14">
        <f>'DR Contab'!D8</f>
        <v>71600</v>
      </c>
      <c r="E61" s="14">
        <f>'DR Contab'!E8</f>
        <v>42589</v>
      </c>
      <c r="F61" s="14">
        <f>'DR Contab'!F8</f>
        <v>870</v>
      </c>
      <c r="G61" s="32">
        <f t="shared" ref="G61:G83" si="149">E61-D61</f>
        <v>-29011</v>
      </c>
      <c r="H61" s="32">
        <f t="shared" ref="H61:H83" si="150">F61-E61</f>
        <v>-41719</v>
      </c>
      <c r="I61" s="28"/>
      <c r="K61" s="6" t="str">
        <f t="shared" ref="K61:K83" si="151">B61</f>
        <v>Subsídios à exploração</v>
      </c>
      <c r="L61" s="6"/>
      <c r="M61" s="14">
        <f t="shared" ref="M61:M71" si="152">D61</f>
        <v>71600</v>
      </c>
      <c r="N61" s="39">
        <f t="shared" ref="N61:N83" si="153">M61/$M$60</f>
        <v>2.0805167538696669E-3</v>
      </c>
      <c r="O61" s="14">
        <f t="shared" ref="O61:O71" si="154">E61</f>
        <v>42589</v>
      </c>
      <c r="P61" s="39">
        <f t="shared" ref="P61:P83" si="155">O61/$O$60</f>
        <v>1.1796218490595335E-3</v>
      </c>
      <c r="Q61" s="14">
        <f t="shared" ref="Q61:Q71" si="156">F61</f>
        <v>870</v>
      </c>
      <c r="R61" s="39">
        <f t="shared" ref="R61:R83" si="157">Q61/$Q$60</f>
        <v>2.2002769465831177E-5</v>
      </c>
      <c r="U61" s="6" t="str">
        <f t="shared" ref="U61:U83" si="158">K61</f>
        <v>Subsídios à exploração</v>
      </c>
      <c r="V61" s="6"/>
      <c r="W61" s="14">
        <f t="shared" ref="W61:W83" si="159">M61</f>
        <v>71600</v>
      </c>
      <c r="X61" s="45">
        <f t="shared" ref="X61:X83" si="160">(W61/W61)*100</f>
        <v>100</v>
      </c>
      <c r="Y61" s="14">
        <f t="shared" ref="Y61:Y83" si="161">O61</f>
        <v>42589</v>
      </c>
      <c r="Z61" s="45">
        <f t="shared" ref="Z61:Z83" si="162">(Y61/W61)*100</f>
        <v>59.481843575418992</v>
      </c>
      <c r="AA61" s="14">
        <f t="shared" ref="AA61:AA83" si="163">Q61</f>
        <v>870</v>
      </c>
      <c r="AB61" s="45">
        <f t="shared" ref="AB61:AB83" si="164">(AA61/W61)*100</f>
        <v>1.2150837988826815</v>
      </c>
      <c r="AE61" s="6" t="str">
        <f t="shared" ref="AE61:AE83" si="165">U61</f>
        <v>Subsídios à exploração</v>
      </c>
      <c r="AF61" s="6"/>
      <c r="AG61" s="14">
        <f t="shared" si="146"/>
        <v>71600</v>
      </c>
      <c r="AH61" s="45">
        <f t="shared" ref="AH61:AH83" si="166">(AG61/AG61)*100</f>
        <v>100</v>
      </c>
      <c r="AI61" s="14">
        <f t="shared" si="147"/>
        <v>42589</v>
      </c>
      <c r="AJ61" s="45">
        <f t="shared" ref="AJ61:AJ83" si="167">(AI61/AG61)*100</f>
        <v>59.481843575418992</v>
      </c>
      <c r="AK61" s="14">
        <f t="shared" si="148"/>
        <v>870</v>
      </c>
      <c r="AL61" s="45">
        <f t="shared" ref="AL61:AL80" si="168">(AK61/AI61)*100</f>
        <v>2.0427809997886777</v>
      </c>
    </row>
    <row r="62" spans="2:38" ht="15" customHeight="1">
      <c r="B62" s="6" t="str">
        <f>'DR Contab'!B9</f>
        <v>Variação nos inventários da produção</v>
      </c>
      <c r="C62" s="6"/>
      <c r="D62" s="14">
        <f>'DR Contab'!D9</f>
        <v>3248</v>
      </c>
      <c r="E62" s="14">
        <f>'DR Contab'!E9</f>
        <v>-59213</v>
      </c>
      <c r="F62" s="14">
        <f>'DR Contab'!F9</f>
        <v>131969</v>
      </c>
      <c r="G62" s="32">
        <f t="shared" si="149"/>
        <v>-62461</v>
      </c>
      <c r="H62" s="32">
        <f t="shared" si="150"/>
        <v>191182</v>
      </c>
      <c r="I62" s="28"/>
      <c r="J62" s="18"/>
      <c r="K62" s="6" t="str">
        <f t="shared" si="151"/>
        <v>Variação nos inventários da produção</v>
      </c>
      <c r="L62" s="6"/>
      <c r="M62" s="14">
        <f t="shared" si="152"/>
        <v>3248</v>
      </c>
      <c r="N62" s="39">
        <f t="shared" si="153"/>
        <v>9.437874883475806E-5</v>
      </c>
      <c r="O62" s="14">
        <f t="shared" si="154"/>
        <v>-59213</v>
      </c>
      <c r="P62" s="39">
        <f t="shared" si="155"/>
        <v>-1.6400701718369099E-3</v>
      </c>
      <c r="Q62" s="14">
        <f t="shared" si="156"/>
        <v>131969</v>
      </c>
      <c r="R62" s="39">
        <f t="shared" si="157"/>
        <v>3.3375672225704309E-3</v>
      </c>
      <c r="U62" s="6" t="str">
        <f t="shared" si="158"/>
        <v>Variação nos inventários da produção</v>
      </c>
      <c r="V62" s="6"/>
      <c r="W62" s="14">
        <f t="shared" si="159"/>
        <v>3248</v>
      </c>
      <c r="X62" s="45">
        <f t="shared" si="160"/>
        <v>100</v>
      </c>
      <c r="Y62" s="14">
        <f t="shared" si="161"/>
        <v>-59213</v>
      </c>
      <c r="Z62" s="50"/>
      <c r="AA62" s="14">
        <f t="shared" si="163"/>
        <v>131969</v>
      </c>
      <c r="AB62" s="45">
        <f t="shared" si="164"/>
        <v>4063.0849753694583</v>
      </c>
      <c r="AE62" s="6" t="str">
        <f t="shared" si="165"/>
        <v>Variação nos inventários da produção</v>
      </c>
      <c r="AF62" s="6"/>
      <c r="AG62" s="14">
        <f t="shared" si="146"/>
        <v>3248</v>
      </c>
      <c r="AH62" s="45">
        <f t="shared" si="166"/>
        <v>100</v>
      </c>
      <c r="AI62" s="14">
        <f t="shared" si="147"/>
        <v>-59213</v>
      </c>
      <c r="AJ62" s="50"/>
      <c r="AK62" s="14">
        <f t="shared" si="148"/>
        <v>131969</v>
      </c>
      <c r="AL62" s="50"/>
    </row>
    <row r="63" spans="2:38" ht="15" customHeight="1">
      <c r="B63" s="6" t="str">
        <f>'DR Contab'!B10</f>
        <v>Trabalhos para a própria entidade</v>
      </c>
      <c r="C63" s="6"/>
      <c r="D63" s="14">
        <f>'DR Contab'!D10</f>
        <v>0</v>
      </c>
      <c r="E63" s="14">
        <f>'DR Contab'!E10</f>
        <v>0</v>
      </c>
      <c r="F63" s="14">
        <f>'DR Contab'!F10</f>
        <v>0</v>
      </c>
      <c r="G63" s="32"/>
      <c r="H63" s="32"/>
      <c r="I63" s="28" t="s">
        <v>196</v>
      </c>
      <c r="K63" s="6" t="str">
        <f t="shared" si="151"/>
        <v>Trabalhos para a própria entidade</v>
      </c>
      <c r="L63" s="6"/>
      <c r="M63" s="14"/>
      <c r="N63" s="39">
        <f t="shared" si="153"/>
        <v>0</v>
      </c>
      <c r="O63" s="14"/>
      <c r="P63" s="39">
        <f t="shared" si="155"/>
        <v>0</v>
      </c>
      <c r="Q63" s="14"/>
      <c r="R63" s="39">
        <f t="shared" si="157"/>
        <v>0</v>
      </c>
      <c r="U63" s="6" t="str">
        <f t="shared" si="158"/>
        <v>Trabalhos para a própria entidade</v>
      </c>
      <c r="V63" s="6"/>
      <c r="W63" s="14"/>
      <c r="X63" s="45"/>
      <c r="Y63" s="14"/>
      <c r="Z63" s="45"/>
      <c r="AA63" s="14"/>
      <c r="AB63" s="45"/>
      <c r="AE63" s="6" t="str">
        <f t="shared" si="165"/>
        <v>Trabalhos para a própria entidade</v>
      </c>
      <c r="AF63" s="6"/>
      <c r="AG63" s="14"/>
      <c r="AH63" s="45"/>
      <c r="AI63" s="14"/>
      <c r="AJ63" s="45"/>
      <c r="AK63" s="14"/>
      <c r="AL63" s="45"/>
    </row>
    <row r="64" spans="2:38" ht="15" customHeight="1">
      <c r="B64" s="6" t="str">
        <f>'DR Contab'!B11</f>
        <v>Custo das mercadorias vendidas e matérias consumidas</v>
      </c>
      <c r="C64" s="6"/>
      <c r="D64" s="14">
        <f>'DR Contab'!D11</f>
        <v>-9270182</v>
      </c>
      <c r="E64" s="14">
        <f>'DR Contab'!E11</f>
        <v>-9474096</v>
      </c>
      <c r="F64" s="14">
        <f>'DR Contab'!F11</f>
        <v>-10429861</v>
      </c>
      <c r="G64" s="37">
        <f>(E64*(-1))-(D64*(-1))</f>
        <v>203914</v>
      </c>
      <c r="H64" s="37">
        <f>(F64*(-1))-(E64*(-1))</f>
        <v>955765</v>
      </c>
      <c r="I64" s="1" t="s">
        <v>197</v>
      </c>
      <c r="K64" s="6" t="str">
        <f t="shared" si="151"/>
        <v>Custo das mercadorias vendidas e matérias consumidas</v>
      </c>
      <c r="L64" s="6"/>
      <c r="M64" s="14">
        <f t="shared" si="152"/>
        <v>-9270182</v>
      </c>
      <c r="N64" s="39">
        <f t="shared" si="153"/>
        <v>-0.26936828159805887</v>
      </c>
      <c r="O64" s="14">
        <f t="shared" si="154"/>
        <v>-9474096</v>
      </c>
      <c r="P64" s="39">
        <f t="shared" si="155"/>
        <v>-0.26241167065879756</v>
      </c>
      <c r="Q64" s="14">
        <f t="shared" si="156"/>
        <v>-10429861</v>
      </c>
      <c r="R64" s="39">
        <f t="shared" si="157"/>
        <v>-0.26377681280880855</v>
      </c>
      <c r="U64" s="6" t="str">
        <f t="shared" si="158"/>
        <v>Custo das mercadorias vendidas e matérias consumidas</v>
      </c>
      <c r="V64" s="6"/>
      <c r="W64" s="14">
        <f t="shared" si="159"/>
        <v>-9270182</v>
      </c>
      <c r="X64" s="45">
        <f t="shared" si="160"/>
        <v>100</v>
      </c>
      <c r="Y64" s="14">
        <f t="shared" si="161"/>
        <v>-9474096</v>
      </c>
      <c r="Z64" s="45">
        <f t="shared" si="162"/>
        <v>102.19967633860909</v>
      </c>
      <c r="AA64" s="14">
        <f t="shared" si="163"/>
        <v>-10429861</v>
      </c>
      <c r="AB64" s="45">
        <f t="shared" si="164"/>
        <v>112.50977596772103</v>
      </c>
      <c r="AE64" s="6" t="str">
        <f t="shared" si="165"/>
        <v>Custo das mercadorias vendidas e matérias consumidas</v>
      </c>
      <c r="AF64" s="6"/>
      <c r="AG64" s="14">
        <f t="shared" ref="AG64:AG83" si="169">W64</f>
        <v>-9270182</v>
      </c>
      <c r="AH64" s="45">
        <f t="shared" si="166"/>
        <v>100</v>
      </c>
      <c r="AI64" s="14">
        <f t="shared" ref="AI64:AI83" si="170">Y64</f>
        <v>-9474096</v>
      </c>
      <c r="AJ64" s="45">
        <f t="shared" si="167"/>
        <v>102.19967633860909</v>
      </c>
      <c r="AK64" s="14">
        <f t="shared" ref="AK64:AK83" si="171">AA64</f>
        <v>-10429861</v>
      </c>
      <c r="AL64" s="45">
        <f t="shared" si="168"/>
        <v>110.08819205547422</v>
      </c>
    </row>
    <row r="65" spans="2:38" ht="15" customHeight="1">
      <c r="B65" s="6" t="str">
        <f>'DR Contab'!B12</f>
        <v>Fornecimentos e serviços externos</v>
      </c>
      <c r="C65" s="6"/>
      <c r="D65" s="14">
        <f>'DR Contab'!D12</f>
        <v>-10472728</v>
      </c>
      <c r="E65" s="14">
        <f>'DR Contab'!E12</f>
        <v>-10062717</v>
      </c>
      <c r="F65" s="14">
        <f>'DR Contab'!F12</f>
        <v>-13103785</v>
      </c>
      <c r="G65" s="37">
        <f t="shared" ref="G65:G66" si="172">(E65*(-1))-(D65*(-1))</f>
        <v>-410011</v>
      </c>
      <c r="H65" s="37">
        <f t="shared" ref="H65:H66" si="173">(F65*(-1))-(E65*(-1))</f>
        <v>3041068</v>
      </c>
      <c r="I65" s="28" t="s">
        <v>198</v>
      </c>
      <c r="K65" s="6" t="str">
        <f t="shared" si="151"/>
        <v>Fornecimentos e serviços externos</v>
      </c>
      <c r="L65" s="6"/>
      <c r="M65" s="14">
        <f t="shared" si="152"/>
        <v>-10472728</v>
      </c>
      <c r="N65" s="39">
        <f t="shared" si="153"/>
        <v>-0.30431125785921742</v>
      </c>
      <c r="O65" s="14">
        <f t="shared" si="154"/>
        <v>-10062717</v>
      </c>
      <c r="P65" s="39">
        <f t="shared" si="155"/>
        <v>-0.27871518077679214</v>
      </c>
      <c r="Q65" s="14">
        <f t="shared" si="156"/>
        <v>-13103785</v>
      </c>
      <c r="R65" s="39">
        <f t="shared" si="157"/>
        <v>-0.33140179366070877</v>
      </c>
      <c r="U65" s="6" t="str">
        <f t="shared" si="158"/>
        <v>Fornecimentos e serviços externos</v>
      </c>
      <c r="V65" s="6"/>
      <c r="W65" s="14">
        <f t="shared" si="159"/>
        <v>-10472728</v>
      </c>
      <c r="X65" s="45">
        <f t="shared" si="160"/>
        <v>100</v>
      </c>
      <c r="Y65" s="14">
        <f t="shared" si="161"/>
        <v>-10062717</v>
      </c>
      <c r="Z65" s="45">
        <f t="shared" si="162"/>
        <v>96.084964681599672</v>
      </c>
      <c r="AA65" s="14">
        <f t="shared" si="163"/>
        <v>-13103785</v>
      </c>
      <c r="AB65" s="45">
        <f t="shared" si="164"/>
        <v>125.12293835951817</v>
      </c>
      <c r="AE65" s="6" t="str">
        <f t="shared" si="165"/>
        <v>Fornecimentos e serviços externos</v>
      </c>
      <c r="AF65" s="6"/>
      <c r="AG65" s="14">
        <f t="shared" si="169"/>
        <v>-10472728</v>
      </c>
      <c r="AH65" s="45">
        <f t="shared" si="166"/>
        <v>100</v>
      </c>
      <c r="AI65" s="14">
        <f t="shared" si="170"/>
        <v>-10062717</v>
      </c>
      <c r="AJ65" s="45">
        <f t="shared" si="167"/>
        <v>96.084964681599672</v>
      </c>
      <c r="AK65" s="14">
        <f t="shared" si="171"/>
        <v>-13103785</v>
      </c>
      <c r="AL65" s="45">
        <f t="shared" si="168"/>
        <v>130.22114206332148</v>
      </c>
    </row>
    <row r="66" spans="2:38" ht="15" customHeight="1">
      <c r="B66" s="6" t="str">
        <f>'DR Contab'!B13</f>
        <v>Gastos com pessoal</v>
      </c>
      <c r="C66" s="6"/>
      <c r="D66" s="14">
        <f>'DR Contab'!D13</f>
        <v>-8709967</v>
      </c>
      <c r="E66" s="14">
        <f>'DR Contab'!E13</f>
        <v>-9570544</v>
      </c>
      <c r="F66" s="14">
        <f>'DR Contab'!F13</f>
        <v>-10311572</v>
      </c>
      <c r="G66" s="37">
        <f t="shared" si="172"/>
        <v>860577</v>
      </c>
      <c r="H66" s="37">
        <f t="shared" si="173"/>
        <v>741028</v>
      </c>
      <c r="I66" s="28" t="s">
        <v>199</v>
      </c>
      <c r="K66" s="6" t="str">
        <f t="shared" si="151"/>
        <v>Gastos com pessoal</v>
      </c>
      <c r="L66" s="6"/>
      <c r="M66" s="14">
        <f t="shared" si="152"/>
        <v>-8709967</v>
      </c>
      <c r="N66" s="39">
        <f t="shared" si="153"/>
        <v>-0.25308983616133968</v>
      </c>
      <c r="O66" s="14">
        <f t="shared" si="154"/>
        <v>-9570544</v>
      </c>
      <c r="P66" s="39">
        <f t="shared" si="155"/>
        <v>-0.26508306862771192</v>
      </c>
      <c r="Q66" s="14">
        <f t="shared" si="156"/>
        <v>-10311572</v>
      </c>
      <c r="R66" s="39">
        <f t="shared" si="157"/>
        <v>-0.26078522016818362</v>
      </c>
      <c r="U66" s="6" t="str">
        <f t="shared" si="158"/>
        <v>Gastos com pessoal</v>
      </c>
      <c r="V66" s="6"/>
      <c r="W66" s="14">
        <f t="shared" si="159"/>
        <v>-8709967</v>
      </c>
      <c r="X66" s="45">
        <f t="shared" si="160"/>
        <v>100</v>
      </c>
      <c r="Y66" s="14">
        <f t="shared" si="161"/>
        <v>-9570544</v>
      </c>
      <c r="Z66" s="45">
        <f t="shared" si="162"/>
        <v>109.88037038487057</v>
      </c>
      <c r="AA66" s="14">
        <f t="shared" si="163"/>
        <v>-10311572</v>
      </c>
      <c r="AB66" s="45">
        <f t="shared" si="164"/>
        <v>118.38818677499007</v>
      </c>
      <c r="AE66" s="6" t="str">
        <f t="shared" si="165"/>
        <v>Gastos com pessoal</v>
      </c>
      <c r="AF66" s="6"/>
      <c r="AG66" s="14">
        <f t="shared" si="169"/>
        <v>-8709967</v>
      </c>
      <c r="AH66" s="45">
        <f t="shared" si="166"/>
        <v>100</v>
      </c>
      <c r="AI66" s="14">
        <f t="shared" si="170"/>
        <v>-9570544</v>
      </c>
      <c r="AJ66" s="45">
        <f t="shared" si="167"/>
        <v>109.88037038487057</v>
      </c>
      <c r="AK66" s="14">
        <f t="shared" si="171"/>
        <v>-10311572</v>
      </c>
      <c r="AL66" s="45">
        <f t="shared" si="168"/>
        <v>107.74279915540852</v>
      </c>
    </row>
    <row r="67" spans="2:38" ht="15" customHeight="1">
      <c r="B67" s="6" t="str">
        <f>'DR Contab'!B14</f>
        <v>Imparidade de inventários (perdas/reversões)</v>
      </c>
      <c r="C67" s="6"/>
      <c r="D67" s="14">
        <f>'DR Contab'!D14</f>
        <v>24000</v>
      </c>
      <c r="E67" s="14">
        <f>'DR Contab'!E14</f>
        <v>-7482</v>
      </c>
      <c r="F67" s="14">
        <f>'DR Contab'!F14</f>
        <v>7482</v>
      </c>
      <c r="G67" s="32">
        <f t="shared" si="149"/>
        <v>-31482</v>
      </c>
      <c r="H67" s="32">
        <f t="shared" si="150"/>
        <v>14964</v>
      </c>
      <c r="I67" s="28"/>
      <c r="K67" s="6" t="str">
        <f t="shared" si="151"/>
        <v>Imparidade de inventários (perdas/reversões)</v>
      </c>
      <c r="L67" s="6"/>
      <c r="M67" s="14">
        <f t="shared" si="152"/>
        <v>24000</v>
      </c>
      <c r="N67" s="39">
        <f t="shared" si="153"/>
        <v>6.9737991749821231E-4</v>
      </c>
      <c r="O67" s="14">
        <f t="shared" si="154"/>
        <v>-7482</v>
      </c>
      <c r="P67" s="39">
        <f t="shared" si="155"/>
        <v>-2.0723498261671861E-4</v>
      </c>
      <c r="Q67" s="14">
        <f t="shared" si="156"/>
        <v>7482</v>
      </c>
      <c r="R67" s="39">
        <f t="shared" si="157"/>
        <v>1.8922381740614814E-4</v>
      </c>
      <c r="U67" s="6" t="str">
        <f t="shared" si="158"/>
        <v>Imparidade de inventários (perdas/reversões)</v>
      </c>
      <c r="V67" s="6"/>
      <c r="W67" s="14">
        <f t="shared" si="159"/>
        <v>24000</v>
      </c>
      <c r="X67" s="45">
        <f t="shared" si="160"/>
        <v>100</v>
      </c>
      <c r="Y67" s="14">
        <f t="shared" si="161"/>
        <v>-7482</v>
      </c>
      <c r="Z67" s="50"/>
      <c r="AA67" s="14">
        <f t="shared" si="163"/>
        <v>7482</v>
      </c>
      <c r="AB67" s="45">
        <f t="shared" si="164"/>
        <v>31.175000000000004</v>
      </c>
      <c r="AE67" s="6" t="str">
        <f t="shared" si="165"/>
        <v>Imparidade de inventários (perdas/reversões)</v>
      </c>
      <c r="AF67" s="6"/>
      <c r="AG67" s="14">
        <f t="shared" si="169"/>
        <v>24000</v>
      </c>
      <c r="AH67" s="45">
        <f t="shared" si="166"/>
        <v>100</v>
      </c>
      <c r="AI67" s="14">
        <f t="shared" si="170"/>
        <v>-7482</v>
      </c>
      <c r="AJ67" s="50"/>
      <c r="AK67" s="14">
        <f t="shared" si="171"/>
        <v>7482</v>
      </c>
      <c r="AL67" s="50"/>
    </row>
    <row r="68" spans="2:38" ht="15" customHeight="1">
      <c r="B68" s="6" t="str">
        <f>'DR Contab'!B15</f>
        <v>Imparidade de dívidas a receber (perdas/reversões)</v>
      </c>
      <c r="C68" s="6"/>
      <c r="D68" s="14">
        <f>'DR Contab'!D15</f>
        <v>-1074082</v>
      </c>
      <c r="E68" s="14">
        <f>'DR Contab'!E15</f>
        <v>-530467</v>
      </c>
      <c r="F68" s="14">
        <f>'DR Contab'!F15</f>
        <v>-403235</v>
      </c>
      <c r="G68" s="37">
        <f>(E68*(-1))-(D68*(-1))</f>
        <v>-543615</v>
      </c>
      <c r="H68" s="37">
        <f>(F68*(-1))-(E68*(-1))</f>
        <v>-127232</v>
      </c>
      <c r="I68" s="28" t="s">
        <v>200</v>
      </c>
      <c r="K68" s="6" t="str">
        <f t="shared" si="151"/>
        <v>Imparidade de dívidas a receber (perdas/reversões)</v>
      </c>
      <c r="L68" s="6"/>
      <c r="M68" s="14">
        <f t="shared" si="152"/>
        <v>-1074082</v>
      </c>
      <c r="N68" s="39">
        <f t="shared" si="153"/>
        <v>-3.1210134022763118E-2</v>
      </c>
      <c r="O68" s="14">
        <f t="shared" si="154"/>
        <v>-530467</v>
      </c>
      <c r="P68" s="39">
        <f t="shared" si="155"/>
        <v>-1.4692771922446255E-2</v>
      </c>
      <c r="Q68" s="14">
        <f t="shared" si="156"/>
        <v>-403235</v>
      </c>
      <c r="R68" s="39">
        <f t="shared" si="157"/>
        <v>-1.0198030742016593E-2</v>
      </c>
      <c r="U68" s="6" t="str">
        <f t="shared" si="158"/>
        <v>Imparidade de dívidas a receber (perdas/reversões)</v>
      </c>
      <c r="V68" s="6"/>
      <c r="W68" s="14">
        <f t="shared" si="159"/>
        <v>-1074082</v>
      </c>
      <c r="X68" s="45">
        <f t="shared" si="160"/>
        <v>100</v>
      </c>
      <c r="Y68" s="14">
        <f t="shared" si="161"/>
        <v>-530467</v>
      </c>
      <c r="Z68" s="45">
        <f t="shared" si="162"/>
        <v>49.387942447597112</v>
      </c>
      <c r="AA68" s="14">
        <f t="shared" si="163"/>
        <v>-403235</v>
      </c>
      <c r="AB68" s="45">
        <f t="shared" si="164"/>
        <v>37.542291929294045</v>
      </c>
      <c r="AE68" s="6" t="str">
        <f t="shared" si="165"/>
        <v>Imparidade de dívidas a receber (perdas/reversões)</v>
      </c>
      <c r="AF68" s="6"/>
      <c r="AG68" s="14">
        <f t="shared" si="169"/>
        <v>-1074082</v>
      </c>
      <c r="AH68" s="45">
        <f t="shared" si="166"/>
        <v>100</v>
      </c>
      <c r="AI68" s="14">
        <f t="shared" si="170"/>
        <v>-530467</v>
      </c>
      <c r="AJ68" s="45">
        <f t="shared" si="167"/>
        <v>49.387942447597112</v>
      </c>
      <c r="AK68" s="14">
        <f t="shared" si="171"/>
        <v>-403235</v>
      </c>
      <c r="AL68" s="45">
        <f t="shared" si="168"/>
        <v>76.0150961322759</v>
      </c>
    </row>
    <row r="69" spans="2:38" ht="15" customHeight="1">
      <c r="B69" s="6" t="str">
        <f>'DR Contab'!B16</f>
        <v>Aumentos/reduções de justo valor</v>
      </c>
      <c r="C69" s="6"/>
      <c r="D69" s="14">
        <f>'DR Contab'!D16</f>
        <v>-211</v>
      </c>
      <c r="E69" s="14">
        <f>'DR Contab'!E16</f>
        <v>91</v>
      </c>
      <c r="F69" s="14">
        <f>'DR Contab'!F16</f>
        <v>-58</v>
      </c>
      <c r="G69" s="32">
        <f t="shared" si="149"/>
        <v>302</v>
      </c>
      <c r="H69" s="32">
        <f t="shared" si="150"/>
        <v>-149</v>
      </c>
      <c r="I69" s="28"/>
      <c r="K69" s="6" t="str">
        <f t="shared" si="151"/>
        <v>Aumentos/reduções de justo valor</v>
      </c>
      <c r="L69" s="6"/>
      <c r="M69" s="14">
        <f t="shared" si="152"/>
        <v>-211</v>
      </c>
      <c r="N69" s="39">
        <f t="shared" si="153"/>
        <v>-6.1311317746717834E-6</v>
      </c>
      <c r="O69" s="14">
        <f t="shared" si="154"/>
        <v>91</v>
      </c>
      <c r="P69" s="39">
        <f t="shared" si="155"/>
        <v>2.5205003231918465E-6</v>
      </c>
      <c r="Q69" s="14">
        <f t="shared" si="156"/>
        <v>-58</v>
      </c>
      <c r="R69" s="39">
        <f t="shared" si="157"/>
        <v>-1.4668512977220786E-6</v>
      </c>
      <c r="U69" s="6" t="str">
        <f t="shared" si="158"/>
        <v>Aumentos/reduções de justo valor</v>
      </c>
      <c r="V69" s="6"/>
      <c r="W69" s="14">
        <f t="shared" si="159"/>
        <v>-211</v>
      </c>
      <c r="X69" s="45">
        <f t="shared" si="160"/>
        <v>100</v>
      </c>
      <c r="Y69" s="14">
        <f t="shared" si="161"/>
        <v>91</v>
      </c>
      <c r="Z69" s="50"/>
      <c r="AA69" s="14">
        <f t="shared" si="163"/>
        <v>-58</v>
      </c>
      <c r="AB69" s="45">
        <f t="shared" si="164"/>
        <v>27.488151658767773</v>
      </c>
      <c r="AE69" s="6" t="str">
        <f t="shared" si="165"/>
        <v>Aumentos/reduções de justo valor</v>
      </c>
      <c r="AF69" s="6"/>
      <c r="AG69" s="14">
        <f t="shared" si="169"/>
        <v>-211</v>
      </c>
      <c r="AH69" s="45">
        <f t="shared" si="166"/>
        <v>100</v>
      </c>
      <c r="AI69" s="14">
        <f t="shared" si="170"/>
        <v>91</v>
      </c>
      <c r="AJ69" s="50"/>
      <c r="AK69" s="14">
        <f t="shared" si="171"/>
        <v>-58</v>
      </c>
      <c r="AL69" s="50"/>
    </row>
    <row r="70" spans="2:38" ht="15" customHeight="1">
      <c r="B70" s="6" t="str">
        <f>'DR Contab'!B17</f>
        <v>Ganhos/Perdas em empresas do grupo</v>
      </c>
      <c r="C70" s="6"/>
      <c r="D70" s="14">
        <f>'DR Contab'!D17</f>
        <v>0</v>
      </c>
      <c r="E70" s="14">
        <f>'DR Contab'!E17</f>
        <v>0</v>
      </c>
      <c r="F70" s="14">
        <f>'DR Contab'!F17</f>
        <v>0</v>
      </c>
      <c r="G70" s="32">
        <f t="shared" si="149"/>
        <v>0</v>
      </c>
      <c r="H70" s="32">
        <f t="shared" si="150"/>
        <v>0</v>
      </c>
      <c r="I70" s="28"/>
      <c r="K70" s="6" t="str">
        <f t="shared" si="151"/>
        <v>Ganhos/Perdas em empresas do grupo</v>
      </c>
      <c r="L70" s="6"/>
      <c r="M70" s="14">
        <f t="shared" si="152"/>
        <v>0</v>
      </c>
      <c r="N70" s="39">
        <f t="shared" si="153"/>
        <v>0</v>
      </c>
      <c r="O70" s="14">
        <f t="shared" si="154"/>
        <v>0</v>
      </c>
      <c r="P70" s="39">
        <f t="shared" si="155"/>
        <v>0</v>
      </c>
      <c r="Q70" s="14">
        <f t="shared" si="156"/>
        <v>0</v>
      </c>
      <c r="R70" s="39">
        <f t="shared" si="157"/>
        <v>0</v>
      </c>
      <c r="U70" s="6" t="str">
        <f t="shared" si="158"/>
        <v>Ganhos/Perdas em empresas do grupo</v>
      </c>
      <c r="V70" s="6"/>
      <c r="W70" s="14">
        <f t="shared" si="159"/>
        <v>0</v>
      </c>
      <c r="X70" s="45"/>
      <c r="Y70" s="14">
        <f t="shared" si="161"/>
        <v>0</v>
      </c>
      <c r="Z70" s="45"/>
      <c r="AA70" s="14">
        <f t="shared" si="163"/>
        <v>0</v>
      </c>
      <c r="AB70" s="45"/>
      <c r="AE70" s="6" t="str">
        <f t="shared" si="165"/>
        <v>Ganhos/Perdas em empresas do grupo</v>
      </c>
      <c r="AF70" s="6"/>
      <c r="AG70" s="14">
        <f t="shared" si="169"/>
        <v>0</v>
      </c>
      <c r="AH70" s="45"/>
      <c r="AI70" s="14">
        <f t="shared" si="170"/>
        <v>0</v>
      </c>
      <c r="AJ70" s="45"/>
      <c r="AK70" s="14">
        <f t="shared" si="171"/>
        <v>0</v>
      </c>
      <c r="AL70" s="45"/>
    </row>
    <row r="71" spans="2:38" ht="15" customHeight="1">
      <c r="B71" s="6" t="str">
        <f>'DR Contab'!B18</f>
        <v>Outros rendimentos e ganhos</v>
      </c>
      <c r="C71" s="6"/>
      <c r="D71" s="14">
        <f>'DR Contab'!D18</f>
        <v>1262832</v>
      </c>
      <c r="E71" s="14">
        <f>'DR Contab'!E18</f>
        <v>768393</v>
      </c>
      <c r="F71" s="14">
        <f>'DR Contab'!F18</f>
        <v>677442</v>
      </c>
      <c r="G71" s="32">
        <f t="shared" si="149"/>
        <v>-494439</v>
      </c>
      <c r="H71" s="32">
        <f t="shared" si="150"/>
        <v>-90951</v>
      </c>
      <c r="I71" s="28"/>
      <c r="K71" s="6" t="str">
        <f t="shared" si="151"/>
        <v>Outros rendimentos e ganhos</v>
      </c>
      <c r="L71" s="6"/>
      <c r="M71" s="14">
        <f t="shared" si="152"/>
        <v>1262832</v>
      </c>
      <c r="N71" s="39">
        <f t="shared" si="153"/>
        <v>3.6694736498920938E-2</v>
      </c>
      <c r="O71" s="14">
        <f t="shared" si="154"/>
        <v>768393</v>
      </c>
      <c r="P71" s="39">
        <f t="shared" si="155"/>
        <v>2.1282800053168707E-2</v>
      </c>
      <c r="Q71" s="14">
        <f t="shared" si="156"/>
        <v>677442</v>
      </c>
      <c r="R71" s="39">
        <f t="shared" si="157"/>
        <v>1.7132873738473109E-2</v>
      </c>
      <c r="U71" s="6" t="str">
        <f t="shared" si="158"/>
        <v>Outros rendimentos e ganhos</v>
      </c>
      <c r="V71" s="6"/>
      <c r="W71" s="14">
        <f t="shared" si="159"/>
        <v>1262832</v>
      </c>
      <c r="X71" s="45">
        <f t="shared" si="160"/>
        <v>100</v>
      </c>
      <c r="Y71" s="14">
        <f t="shared" si="161"/>
        <v>768393</v>
      </c>
      <c r="Z71" s="45">
        <f t="shared" si="162"/>
        <v>60.846810977232124</v>
      </c>
      <c r="AA71" s="14">
        <f t="shared" si="163"/>
        <v>677442</v>
      </c>
      <c r="AB71" s="45">
        <f t="shared" si="164"/>
        <v>53.644665323653506</v>
      </c>
      <c r="AE71" s="6" t="str">
        <f t="shared" si="165"/>
        <v>Outros rendimentos e ganhos</v>
      </c>
      <c r="AF71" s="6"/>
      <c r="AG71" s="14">
        <f t="shared" si="169"/>
        <v>1262832</v>
      </c>
      <c r="AH71" s="45">
        <f t="shared" si="166"/>
        <v>100</v>
      </c>
      <c r="AI71" s="14">
        <f t="shared" si="170"/>
        <v>768393</v>
      </c>
      <c r="AJ71" s="45">
        <f t="shared" si="167"/>
        <v>60.846810977232124</v>
      </c>
      <c r="AK71" s="14">
        <f t="shared" si="171"/>
        <v>677442</v>
      </c>
      <c r="AL71" s="45">
        <f t="shared" si="168"/>
        <v>88.163478844809887</v>
      </c>
    </row>
    <row r="72" spans="2:38" ht="15" customHeight="1">
      <c r="B72" s="6" t="str">
        <f>'DR Contab'!B19</f>
        <v>Outros gastos e perdas</v>
      </c>
      <c r="C72" s="6"/>
      <c r="D72" s="14">
        <f>'DR Contab'!D19</f>
        <v>-230470</v>
      </c>
      <c r="E72" s="14">
        <f>'DR Contab'!E19</f>
        <v>-285783</v>
      </c>
      <c r="F72" s="14">
        <f>'DR Contab'!F19</f>
        <v>-346147</v>
      </c>
      <c r="G72" s="37">
        <f>(E72*(-1))-(D72*(-1))</f>
        <v>55313</v>
      </c>
      <c r="H72" s="37">
        <f>(F72*(-1))-(E72*(-1))</f>
        <v>60364</v>
      </c>
      <c r="I72" s="28" t="s">
        <v>201</v>
      </c>
      <c r="K72" s="6" t="str">
        <f t="shared" si="151"/>
        <v>Outros gastos e perdas</v>
      </c>
      <c r="L72" s="6"/>
      <c r="M72" s="14">
        <f t="shared" ref="M72:M82" si="174">D72</f>
        <v>-230470</v>
      </c>
      <c r="N72" s="39">
        <f t="shared" si="153"/>
        <v>-6.6968812327422083E-3</v>
      </c>
      <c r="O72" s="14">
        <f t="shared" ref="O72:O82" si="175">E72</f>
        <v>-285783</v>
      </c>
      <c r="P72" s="39">
        <f t="shared" si="155"/>
        <v>-7.91556202046962E-3</v>
      </c>
      <c r="Q72" s="14">
        <f t="shared" ref="Q72:Q82" si="176">F72</f>
        <v>-346147</v>
      </c>
      <c r="R72" s="39">
        <f t="shared" si="157"/>
        <v>-8.7542444164242124E-3</v>
      </c>
      <c r="U72" s="6" t="str">
        <f t="shared" si="158"/>
        <v>Outros gastos e perdas</v>
      </c>
      <c r="V72" s="6"/>
      <c r="W72" s="14">
        <f t="shared" si="159"/>
        <v>-230470</v>
      </c>
      <c r="X72" s="45">
        <f t="shared" si="160"/>
        <v>100</v>
      </c>
      <c r="Y72" s="14">
        <f t="shared" si="161"/>
        <v>-285783</v>
      </c>
      <c r="Z72" s="45">
        <f t="shared" si="162"/>
        <v>124.00008677919034</v>
      </c>
      <c r="AA72" s="14">
        <f t="shared" si="163"/>
        <v>-346147</v>
      </c>
      <c r="AB72" s="45">
        <f t="shared" si="164"/>
        <v>150.19178201067385</v>
      </c>
      <c r="AE72" s="6" t="str">
        <f t="shared" si="165"/>
        <v>Outros gastos e perdas</v>
      </c>
      <c r="AF72" s="6"/>
      <c r="AG72" s="14">
        <f t="shared" si="169"/>
        <v>-230470</v>
      </c>
      <c r="AH72" s="45">
        <f t="shared" si="166"/>
        <v>100</v>
      </c>
      <c r="AI72" s="14">
        <f t="shared" si="170"/>
        <v>-285783</v>
      </c>
      <c r="AJ72" s="45">
        <f t="shared" si="167"/>
        <v>124.00008677919034</v>
      </c>
      <c r="AK72" s="14">
        <f t="shared" si="171"/>
        <v>-346147</v>
      </c>
      <c r="AL72" s="45">
        <f t="shared" si="168"/>
        <v>121.12232008202028</v>
      </c>
    </row>
    <row r="73" spans="2:38" ht="15" customHeight="1">
      <c r="B73" s="21" t="str">
        <f>'DR Contab'!B20</f>
        <v>Resultado antes de depreciações, gastos de financiamento e impostos</v>
      </c>
      <c r="C73" s="6"/>
      <c r="D73" s="15">
        <f>SUM(D60:D72)</f>
        <v>6018567</v>
      </c>
      <c r="E73" s="15">
        <f>SUM(E60:E72)</f>
        <v>6924714</v>
      </c>
      <c r="F73" s="15">
        <f>SUM(F60:F72)</f>
        <v>5763582</v>
      </c>
      <c r="G73" s="33">
        <f t="shared" si="149"/>
        <v>906147</v>
      </c>
      <c r="H73" s="33">
        <f t="shared" si="150"/>
        <v>-1161132</v>
      </c>
      <c r="I73" s="29"/>
      <c r="K73" s="21" t="str">
        <f t="shared" si="151"/>
        <v>Resultado antes de depreciações, gastos de financiamento e impostos</v>
      </c>
      <c r="L73" s="6"/>
      <c r="M73" s="15">
        <f>SUM(M60:M72)</f>
        <v>6018567</v>
      </c>
      <c r="N73" s="40">
        <f t="shared" si="153"/>
        <v>0.17488448991322764</v>
      </c>
      <c r="O73" s="15">
        <f t="shared" ref="O73:Q73" si="177">SUM(O60:O72)</f>
        <v>6924714</v>
      </c>
      <c r="P73" s="40">
        <f t="shared" si="155"/>
        <v>0.19179938324188026</v>
      </c>
      <c r="Q73" s="15">
        <f t="shared" si="177"/>
        <v>5763582</v>
      </c>
      <c r="R73" s="40">
        <f t="shared" si="157"/>
        <v>0.14576409890047609</v>
      </c>
      <c r="U73" s="21" t="str">
        <f t="shared" si="158"/>
        <v>Resultado antes de depreciações, gastos de financiamento e impostos</v>
      </c>
      <c r="V73" s="6"/>
      <c r="W73" s="15">
        <f t="shared" si="159"/>
        <v>6018567</v>
      </c>
      <c r="X73" s="46">
        <f t="shared" si="160"/>
        <v>100</v>
      </c>
      <c r="Y73" s="15">
        <f t="shared" si="161"/>
        <v>6924714</v>
      </c>
      <c r="Z73" s="46">
        <f t="shared" si="162"/>
        <v>115.0558596423368</v>
      </c>
      <c r="AA73" s="15">
        <f t="shared" si="163"/>
        <v>5763582</v>
      </c>
      <c r="AB73" s="46">
        <f t="shared" si="164"/>
        <v>95.76336028160857</v>
      </c>
      <c r="AE73" s="21" t="str">
        <f t="shared" si="165"/>
        <v>Resultado antes de depreciações, gastos de financiamento e impostos</v>
      </c>
      <c r="AF73" s="6"/>
      <c r="AG73" s="15">
        <f t="shared" si="169"/>
        <v>6018567</v>
      </c>
      <c r="AH73" s="46">
        <f t="shared" si="166"/>
        <v>100</v>
      </c>
      <c r="AI73" s="15">
        <f t="shared" si="170"/>
        <v>6924714</v>
      </c>
      <c r="AJ73" s="46">
        <f t="shared" si="167"/>
        <v>115.0558596423368</v>
      </c>
      <c r="AK73" s="15">
        <f t="shared" si="171"/>
        <v>5763582</v>
      </c>
      <c r="AL73" s="46">
        <f t="shared" si="168"/>
        <v>83.232058392592094</v>
      </c>
    </row>
    <row r="74" spans="2:38" ht="15" customHeight="1">
      <c r="B74" s="6" t="str">
        <f>'DR Contab'!B21</f>
        <v>Gastos/reversões de depreciação e de amortização</v>
      </c>
      <c r="C74" s="6"/>
      <c r="D74" s="14">
        <f>'DR Contab'!D21</f>
        <v>-3102483</v>
      </c>
      <c r="E74" s="14">
        <f>'DR Contab'!E21</f>
        <v>-2957566</v>
      </c>
      <c r="F74" s="14">
        <f>'DR Contab'!F21</f>
        <v>-2761538</v>
      </c>
      <c r="G74" s="37">
        <f>(E74*(-1))-(D74*(-1))</f>
        <v>-144917</v>
      </c>
      <c r="H74" s="37">
        <f>(F74*(-1))-(E74*(-1))</f>
        <v>-196028</v>
      </c>
      <c r="I74" s="28" t="s">
        <v>202</v>
      </c>
      <c r="K74" s="6" t="str">
        <f t="shared" si="151"/>
        <v>Gastos/reversões de depreciação e de amortização</v>
      </c>
      <c r="L74" s="6"/>
      <c r="M74" s="14">
        <f t="shared" si="174"/>
        <v>-3102483</v>
      </c>
      <c r="N74" s="39">
        <f t="shared" si="153"/>
        <v>-9.0150389107483589E-2</v>
      </c>
      <c r="O74" s="14">
        <f t="shared" si="175"/>
        <v>-2957566</v>
      </c>
      <c r="P74" s="39">
        <f t="shared" si="155"/>
        <v>-8.191808855891447E-2</v>
      </c>
      <c r="Q74" s="14">
        <f t="shared" si="176"/>
        <v>-2761538</v>
      </c>
      <c r="R74" s="39">
        <f t="shared" si="157"/>
        <v>-6.9840786189807477E-2</v>
      </c>
      <c r="U74" s="6" t="str">
        <f t="shared" si="158"/>
        <v>Gastos/reversões de depreciação e de amortização</v>
      </c>
      <c r="V74" s="6"/>
      <c r="W74" s="14">
        <f t="shared" si="159"/>
        <v>-3102483</v>
      </c>
      <c r="X74" s="45">
        <f t="shared" si="160"/>
        <v>100</v>
      </c>
      <c r="Y74" s="14">
        <f t="shared" si="161"/>
        <v>-2957566</v>
      </c>
      <c r="Z74" s="45">
        <f t="shared" si="162"/>
        <v>95.328999385331031</v>
      </c>
      <c r="AA74" s="14">
        <f t="shared" si="163"/>
        <v>-2761538</v>
      </c>
      <c r="AB74" s="45">
        <f t="shared" si="164"/>
        <v>89.01057636738058</v>
      </c>
      <c r="AE74" s="6" t="str">
        <f t="shared" si="165"/>
        <v>Gastos/reversões de depreciação e de amortização</v>
      </c>
      <c r="AF74" s="6"/>
      <c r="AG74" s="14">
        <f t="shared" si="169"/>
        <v>-3102483</v>
      </c>
      <c r="AH74" s="45">
        <f t="shared" si="166"/>
        <v>100</v>
      </c>
      <c r="AI74" s="14">
        <f t="shared" si="170"/>
        <v>-2957566</v>
      </c>
      <c r="AJ74" s="45">
        <f t="shared" si="167"/>
        <v>95.328999385331031</v>
      </c>
      <c r="AK74" s="14">
        <f t="shared" si="171"/>
        <v>-2761538</v>
      </c>
      <c r="AL74" s="45">
        <f t="shared" si="168"/>
        <v>93.371982231334812</v>
      </c>
    </row>
    <row r="75" spans="2:38" ht="15" customHeight="1">
      <c r="B75" s="6" t="str">
        <f>'DR Contab'!B22</f>
        <v>Imparidade de investimentos depreciáveis/amortizáveis (perdas/reversões)</v>
      </c>
      <c r="C75" s="6"/>
      <c r="D75" s="14">
        <f>'DR Contab'!D22</f>
        <v>0</v>
      </c>
      <c r="E75" s="14">
        <f>'DR Contab'!E22</f>
        <v>0</v>
      </c>
      <c r="F75" s="14">
        <f>'DR Contab'!F22</f>
        <v>0</v>
      </c>
      <c r="G75" s="32">
        <f t="shared" si="149"/>
        <v>0</v>
      </c>
      <c r="H75" s="32">
        <f t="shared" si="150"/>
        <v>0</v>
      </c>
      <c r="I75" s="28"/>
      <c r="K75" s="6" t="str">
        <f t="shared" si="151"/>
        <v>Imparidade de investimentos depreciáveis/amortizáveis (perdas/reversões)</v>
      </c>
      <c r="L75" s="6"/>
      <c r="M75" s="14">
        <f t="shared" si="174"/>
        <v>0</v>
      </c>
      <c r="N75" s="39">
        <f t="shared" si="153"/>
        <v>0</v>
      </c>
      <c r="O75" s="14">
        <f t="shared" si="175"/>
        <v>0</v>
      </c>
      <c r="P75" s="39">
        <f t="shared" si="155"/>
        <v>0</v>
      </c>
      <c r="Q75" s="14">
        <f t="shared" si="176"/>
        <v>0</v>
      </c>
      <c r="R75" s="39">
        <f t="shared" si="157"/>
        <v>0</v>
      </c>
      <c r="U75" s="6" t="str">
        <f t="shared" si="158"/>
        <v>Imparidade de investimentos depreciáveis/amortizáveis (perdas/reversões)</v>
      </c>
      <c r="V75" s="6"/>
      <c r="W75" s="14">
        <f t="shared" si="159"/>
        <v>0</v>
      </c>
      <c r="X75" s="45"/>
      <c r="Y75" s="14">
        <f t="shared" si="161"/>
        <v>0</v>
      </c>
      <c r="Z75" s="45"/>
      <c r="AA75" s="14">
        <f t="shared" si="163"/>
        <v>0</v>
      </c>
      <c r="AB75" s="45"/>
      <c r="AE75" s="6" t="str">
        <f t="shared" si="165"/>
        <v>Imparidade de investimentos depreciáveis/amortizáveis (perdas/reversões)</v>
      </c>
      <c r="AF75" s="6"/>
      <c r="AG75" s="14">
        <f t="shared" si="169"/>
        <v>0</v>
      </c>
      <c r="AH75" s="45"/>
      <c r="AI75" s="14">
        <f t="shared" si="170"/>
        <v>0</v>
      </c>
      <c r="AJ75" s="45"/>
      <c r="AK75" s="14">
        <f t="shared" si="171"/>
        <v>0</v>
      </c>
      <c r="AL75" s="45"/>
    </row>
    <row r="76" spans="2:38" ht="15" customHeight="1">
      <c r="B76" s="21" t="str">
        <f>'DR Contab'!B23</f>
        <v>Resultado Operacional (antes de gastos de financiamento e impostos)</v>
      </c>
      <c r="C76" s="6"/>
      <c r="D76" s="15">
        <f>SUM(D73:D75)</f>
        <v>2916084</v>
      </c>
      <c r="E76" s="15">
        <f t="shared" ref="E76:F76" si="178">SUM(E73:E75)</f>
        <v>3967148</v>
      </c>
      <c r="F76" s="15">
        <f t="shared" si="178"/>
        <v>3002044</v>
      </c>
      <c r="G76" s="33">
        <f t="shared" si="149"/>
        <v>1051064</v>
      </c>
      <c r="H76" s="33">
        <f t="shared" si="150"/>
        <v>-965104</v>
      </c>
      <c r="I76" s="29"/>
      <c r="K76" s="21" t="str">
        <f t="shared" si="151"/>
        <v>Resultado Operacional (antes de gastos de financiamento e impostos)</v>
      </c>
      <c r="L76" s="6"/>
      <c r="M76" s="15">
        <f>SUM(M73:M75)</f>
        <v>2916084</v>
      </c>
      <c r="N76" s="40">
        <f t="shared" si="153"/>
        <v>8.4734100805744034E-2</v>
      </c>
      <c r="O76" s="15">
        <f t="shared" ref="O76:Q76" si="179">SUM(O73:O75)</f>
        <v>3967148</v>
      </c>
      <c r="P76" s="40">
        <f t="shared" si="155"/>
        <v>0.10988129468296579</v>
      </c>
      <c r="Q76" s="15">
        <f t="shared" si="179"/>
        <v>3002044</v>
      </c>
      <c r="R76" s="40">
        <f t="shared" si="157"/>
        <v>7.5923312710668614E-2</v>
      </c>
      <c r="U76" s="21" t="str">
        <f t="shared" si="158"/>
        <v>Resultado Operacional (antes de gastos de financiamento e impostos)</v>
      </c>
      <c r="V76" s="6"/>
      <c r="W76" s="15">
        <f t="shared" si="159"/>
        <v>2916084</v>
      </c>
      <c r="X76" s="46">
        <f t="shared" si="160"/>
        <v>100</v>
      </c>
      <c r="Y76" s="15">
        <f t="shared" si="161"/>
        <v>3967148</v>
      </c>
      <c r="Z76" s="46">
        <f t="shared" si="162"/>
        <v>136.04368049754396</v>
      </c>
      <c r="AA76" s="15">
        <f t="shared" si="163"/>
        <v>3002044</v>
      </c>
      <c r="AB76" s="46">
        <f t="shared" si="164"/>
        <v>102.94778888399649</v>
      </c>
      <c r="AE76" s="21" t="str">
        <f t="shared" si="165"/>
        <v>Resultado Operacional (antes de gastos de financiamento e impostos)</v>
      </c>
      <c r="AF76" s="6"/>
      <c r="AG76" s="15">
        <f t="shared" si="169"/>
        <v>2916084</v>
      </c>
      <c r="AH76" s="46">
        <f t="shared" si="166"/>
        <v>100</v>
      </c>
      <c r="AI76" s="15">
        <f t="shared" si="170"/>
        <v>3967148</v>
      </c>
      <c r="AJ76" s="46">
        <f t="shared" si="167"/>
        <v>136.04368049754396</v>
      </c>
      <c r="AK76" s="15">
        <f t="shared" si="171"/>
        <v>3002044</v>
      </c>
      <c r="AL76" s="46">
        <f t="shared" si="168"/>
        <v>75.672599056047318</v>
      </c>
    </row>
    <row r="77" spans="2:38" ht="15" customHeight="1">
      <c r="B77" s="6" t="str">
        <f>'DR Contab'!B24</f>
        <v>Juros e rendimentos similares obtidos</v>
      </c>
      <c r="C77" s="6"/>
      <c r="D77" s="14">
        <f>'DR Contab'!D24</f>
        <v>1595</v>
      </c>
      <c r="E77" s="14">
        <f>'DR Contab'!E24</f>
        <v>93572</v>
      </c>
      <c r="F77" s="14">
        <f>'DR Contab'!F24</f>
        <v>47799</v>
      </c>
      <c r="G77" s="32">
        <f t="shared" si="149"/>
        <v>91977</v>
      </c>
      <c r="H77" s="32">
        <f t="shared" si="150"/>
        <v>-45773</v>
      </c>
      <c r="I77" s="28"/>
      <c r="K77" s="6" t="str">
        <f t="shared" si="151"/>
        <v>Juros e rendimentos similares obtidos</v>
      </c>
      <c r="L77" s="6"/>
      <c r="M77" s="14">
        <f t="shared" si="174"/>
        <v>1595</v>
      </c>
      <c r="N77" s="39">
        <f t="shared" si="153"/>
        <v>4.634670701706869E-5</v>
      </c>
      <c r="O77" s="14">
        <f t="shared" si="175"/>
        <v>93572</v>
      </c>
      <c r="P77" s="39">
        <f t="shared" si="155"/>
        <v>2.5917390795792026E-3</v>
      </c>
      <c r="Q77" s="14">
        <f t="shared" si="176"/>
        <v>47799</v>
      </c>
      <c r="R77" s="39">
        <f t="shared" si="157"/>
        <v>1.208862503100304E-3</v>
      </c>
      <c r="U77" s="6" t="str">
        <f t="shared" si="158"/>
        <v>Juros e rendimentos similares obtidos</v>
      </c>
      <c r="V77" s="6"/>
      <c r="W77" s="14">
        <f t="shared" si="159"/>
        <v>1595</v>
      </c>
      <c r="X77" s="45">
        <f t="shared" si="160"/>
        <v>100</v>
      </c>
      <c r="Y77" s="14">
        <f t="shared" si="161"/>
        <v>93572</v>
      </c>
      <c r="Z77" s="45">
        <f t="shared" si="162"/>
        <v>5866.5830721003131</v>
      </c>
      <c r="AA77" s="14">
        <f t="shared" si="163"/>
        <v>47799</v>
      </c>
      <c r="AB77" s="45">
        <f t="shared" si="164"/>
        <v>2996.8025078369906</v>
      </c>
      <c r="AE77" s="6" t="str">
        <f t="shared" si="165"/>
        <v>Juros e rendimentos similares obtidos</v>
      </c>
      <c r="AF77" s="6"/>
      <c r="AG77" s="14">
        <f t="shared" si="169"/>
        <v>1595</v>
      </c>
      <c r="AH77" s="45">
        <f t="shared" si="166"/>
        <v>100</v>
      </c>
      <c r="AI77" s="14">
        <f t="shared" si="170"/>
        <v>93572</v>
      </c>
      <c r="AJ77" s="45">
        <f t="shared" si="167"/>
        <v>5866.5830721003131</v>
      </c>
      <c r="AK77" s="14">
        <f t="shared" si="171"/>
        <v>47799</v>
      </c>
      <c r="AL77" s="45">
        <f t="shared" si="168"/>
        <v>51.08258880861797</v>
      </c>
    </row>
    <row r="78" spans="2:38" ht="15" customHeight="1">
      <c r="B78" s="6" t="str">
        <f>'DR Contab'!B25</f>
        <v>Juros de empresas do grupo</v>
      </c>
      <c r="C78" s="6"/>
      <c r="D78" s="14"/>
      <c r="E78" s="14"/>
      <c r="F78" s="14"/>
      <c r="G78" s="37">
        <f>(E78*(-1))-(D78*(-1))</f>
        <v>0</v>
      </c>
      <c r="H78" s="37">
        <f>(F78*(-1))-(E78*(-1))</f>
        <v>0</v>
      </c>
      <c r="I78" s="28"/>
      <c r="K78" s="6" t="str">
        <f t="shared" si="151"/>
        <v>Juros de empresas do grupo</v>
      </c>
      <c r="L78" s="6"/>
      <c r="M78" s="14">
        <f t="shared" si="174"/>
        <v>0</v>
      </c>
      <c r="N78" s="39">
        <f t="shared" si="153"/>
        <v>0</v>
      </c>
      <c r="O78" s="14">
        <f t="shared" si="175"/>
        <v>0</v>
      </c>
      <c r="P78" s="39">
        <f t="shared" si="155"/>
        <v>0</v>
      </c>
      <c r="Q78" s="14">
        <f t="shared" si="176"/>
        <v>0</v>
      </c>
      <c r="R78" s="39">
        <f t="shared" si="157"/>
        <v>0</v>
      </c>
      <c r="U78" s="6" t="str">
        <f t="shared" si="158"/>
        <v>Juros de empresas do grupo</v>
      </c>
      <c r="V78" s="6"/>
      <c r="W78" s="14">
        <f t="shared" si="159"/>
        <v>0</v>
      </c>
      <c r="X78" s="45"/>
      <c r="Y78" s="14">
        <f t="shared" si="161"/>
        <v>0</v>
      </c>
      <c r="Z78" s="45"/>
      <c r="AA78" s="14">
        <f t="shared" si="163"/>
        <v>0</v>
      </c>
      <c r="AB78" s="45"/>
      <c r="AE78" s="6" t="str">
        <f t="shared" si="165"/>
        <v>Juros de empresas do grupo</v>
      </c>
      <c r="AF78" s="6"/>
      <c r="AG78" s="14">
        <f t="shared" si="169"/>
        <v>0</v>
      </c>
      <c r="AH78" s="45"/>
      <c r="AI78" s="14">
        <f t="shared" si="170"/>
        <v>0</v>
      </c>
      <c r="AJ78" s="45"/>
      <c r="AK78" s="14">
        <f t="shared" si="171"/>
        <v>0</v>
      </c>
      <c r="AL78" s="45"/>
    </row>
    <row r="79" spans="2:38" ht="15" customHeight="1">
      <c r="B79" s="6" t="str">
        <f>'DR Contab'!B26</f>
        <v>Juros e gastos similares suportados</v>
      </c>
      <c r="C79" s="6"/>
      <c r="D79" s="14">
        <f>'DR Contab'!D26</f>
        <v>-635383</v>
      </c>
      <c r="E79" s="14">
        <f>'DR Contab'!E26</f>
        <v>-972006</v>
      </c>
      <c r="F79" s="14">
        <f>'DR Contab'!F26</f>
        <v>-1151303</v>
      </c>
      <c r="G79" s="37">
        <f>(E79*(-1))-(D79*(-1))</f>
        <v>336623</v>
      </c>
      <c r="H79" s="37">
        <f>(F79*(-1))-(E79*(-1))</f>
        <v>179297</v>
      </c>
      <c r="I79" s="28" t="s">
        <v>203</v>
      </c>
      <c r="K79" s="6" t="str">
        <f t="shared" si="151"/>
        <v>Juros e gastos similares suportados</v>
      </c>
      <c r="L79" s="6"/>
      <c r="M79" s="14">
        <f t="shared" si="174"/>
        <v>-635383</v>
      </c>
      <c r="N79" s="39">
        <f t="shared" si="153"/>
        <v>-1.8462639338323608E-2</v>
      </c>
      <c r="O79" s="14">
        <f t="shared" si="175"/>
        <v>-972006</v>
      </c>
      <c r="P79" s="39">
        <f t="shared" si="155"/>
        <v>-2.6922433375213339E-2</v>
      </c>
      <c r="Q79" s="14">
        <f t="shared" si="176"/>
        <v>-1151303</v>
      </c>
      <c r="R79" s="39">
        <f t="shared" si="157"/>
        <v>-2.9117074131402108E-2</v>
      </c>
      <c r="U79" s="6" t="str">
        <f t="shared" si="158"/>
        <v>Juros e gastos similares suportados</v>
      </c>
      <c r="V79" s="6"/>
      <c r="W79" s="14">
        <f t="shared" si="159"/>
        <v>-635383</v>
      </c>
      <c r="X79" s="45">
        <f t="shared" si="160"/>
        <v>100</v>
      </c>
      <c r="Y79" s="14">
        <f t="shared" si="161"/>
        <v>-972006</v>
      </c>
      <c r="Z79" s="45">
        <f t="shared" si="162"/>
        <v>152.97954147341053</v>
      </c>
      <c r="AA79" s="14">
        <f t="shared" si="163"/>
        <v>-1151303</v>
      </c>
      <c r="AB79" s="45">
        <f t="shared" si="164"/>
        <v>181.19826939027325</v>
      </c>
      <c r="AE79" s="6" t="str">
        <f t="shared" si="165"/>
        <v>Juros e gastos similares suportados</v>
      </c>
      <c r="AF79" s="6"/>
      <c r="AG79" s="14">
        <f t="shared" si="169"/>
        <v>-635383</v>
      </c>
      <c r="AH79" s="45">
        <f t="shared" si="166"/>
        <v>100</v>
      </c>
      <c r="AI79" s="14">
        <f t="shared" si="170"/>
        <v>-972006</v>
      </c>
      <c r="AJ79" s="45">
        <f t="shared" si="167"/>
        <v>152.97954147341053</v>
      </c>
      <c r="AK79" s="14">
        <f t="shared" si="171"/>
        <v>-1151303</v>
      </c>
      <c r="AL79" s="45">
        <f t="shared" si="168"/>
        <v>118.44607955094928</v>
      </c>
    </row>
    <row r="80" spans="2:38" ht="15" customHeight="1">
      <c r="B80" s="21" t="str">
        <f>'DR Contab'!B27</f>
        <v>Resultado antes de impostos</v>
      </c>
      <c r="C80" s="6"/>
      <c r="D80" s="15">
        <f>SUM(D76:D79)</f>
        <v>2282296</v>
      </c>
      <c r="E80" s="15">
        <f t="shared" ref="E80:F80" si="180">SUM(E76:E79)</f>
        <v>3088714</v>
      </c>
      <c r="F80" s="15">
        <f t="shared" si="180"/>
        <v>1898540</v>
      </c>
      <c r="G80" s="33">
        <f t="shared" si="149"/>
        <v>806418</v>
      </c>
      <c r="H80" s="33">
        <f t="shared" si="150"/>
        <v>-1190174</v>
      </c>
      <c r="I80" s="29"/>
      <c r="K80" s="21" t="str">
        <f t="shared" si="151"/>
        <v>Resultado antes de impostos</v>
      </c>
      <c r="L80" s="6"/>
      <c r="M80" s="15">
        <f>SUM(M76:M79)</f>
        <v>2282296</v>
      </c>
      <c r="N80" s="40">
        <f t="shared" si="153"/>
        <v>6.6317808174437498E-2</v>
      </c>
      <c r="O80" s="15">
        <f t="shared" ref="O80:Q80" si="181">SUM(O76:O79)</f>
        <v>3088714</v>
      </c>
      <c r="P80" s="40">
        <f t="shared" si="155"/>
        <v>8.5550600387331657E-2</v>
      </c>
      <c r="Q80" s="15">
        <f t="shared" si="181"/>
        <v>1898540</v>
      </c>
      <c r="R80" s="40">
        <f t="shared" si="157"/>
        <v>4.8015101082366812E-2</v>
      </c>
      <c r="U80" s="21" t="str">
        <f t="shared" si="158"/>
        <v>Resultado antes de impostos</v>
      </c>
      <c r="V80" s="6"/>
      <c r="W80" s="15">
        <f t="shared" si="159"/>
        <v>2282296</v>
      </c>
      <c r="X80" s="46">
        <f t="shared" si="160"/>
        <v>100</v>
      </c>
      <c r="Y80" s="15">
        <f t="shared" si="161"/>
        <v>3088714</v>
      </c>
      <c r="Z80" s="46">
        <f t="shared" si="162"/>
        <v>135.3336289420829</v>
      </c>
      <c r="AA80" s="15">
        <f t="shared" si="163"/>
        <v>1898540</v>
      </c>
      <c r="AB80" s="46">
        <f t="shared" si="164"/>
        <v>83.185528958557526</v>
      </c>
      <c r="AE80" s="21" t="str">
        <f t="shared" si="165"/>
        <v>Resultado antes de impostos</v>
      </c>
      <c r="AF80" s="6"/>
      <c r="AG80" s="15">
        <f t="shared" si="169"/>
        <v>2282296</v>
      </c>
      <c r="AH80" s="46">
        <f t="shared" si="166"/>
        <v>100</v>
      </c>
      <c r="AI80" s="15">
        <f t="shared" si="170"/>
        <v>3088714</v>
      </c>
      <c r="AJ80" s="46">
        <f t="shared" si="167"/>
        <v>135.3336289420829</v>
      </c>
      <c r="AK80" s="15">
        <f t="shared" si="171"/>
        <v>1898540</v>
      </c>
      <c r="AL80" s="46">
        <f t="shared" si="168"/>
        <v>61.467005362102157</v>
      </c>
    </row>
    <row r="81" spans="2:39" ht="15" customHeight="1">
      <c r="B81" s="6" t="str">
        <f>'DR Contab'!B28</f>
        <v>Imposto s/ rendimento do período</v>
      </c>
      <c r="C81" s="6"/>
      <c r="D81" s="14">
        <f>'DR Contab'!D28</f>
        <v>25835</v>
      </c>
      <c r="E81" s="14">
        <f>'DR Contab'!E28</f>
        <v>-740818</v>
      </c>
      <c r="F81" s="14">
        <f>'DR Contab'!F28</f>
        <v>380710</v>
      </c>
      <c r="G81" s="32">
        <f>E81-D81</f>
        <v>-766653</v>
      </c>
      <c r="H81" s="32">
        <f>F81-E81</f>
        <v>1121528</v>
      </c>
      <c r="I81" s="28" t="s">
        <v>204</v>
      </c>
      <c r="K81" s="6" t="str">
        <f t="shared" si="151"/>
        <v>Imposto s/ rendimento do período</v>
      </c>
      <c r="L81" s="6"/>
      <c r="M81" s="14">
        <f t="shared" si="174"/>
        <v>25835</v>
      </c>
      <c r="N81" s="39">
        <f t="shared" si="153"/>
        <v>7.5070042369026308E-4</v>
      </c>
      <c r="O81" s="14">
        <f t="shared" si="175"/>
        <v>-740818</v>
      </c>
      <c r="P81" s="39">
        <f t="shared" si="155"/>
        <v>-2.0519033059630081E-2</v>
      </c>
      <c r="Q81" s="14">
        <f t="shared" si="176"/>
        <v>380710</v>
      </c>
      <c r="R81" s="39">
        <f t="shared" si="157"/>
        <v>9.6283613371684913E-3</v>
      </c>
      <c r="U81" s="6" t="str">
        <f t="shared" si="158"/>
        <v>Imposto s/ rendimento do período</v>
      </c>
      <c r="V81" s="6"/>
      <c r="W81" s="14">
        <f t="shared" si="159"/>
        <v>25835</v>
      </c>
      <c r="X81" s="45">
        <f t="shared" si="160"/>
        <v>100</v>
      </c>
      <c r="Y81" s="14">
        <f t="shared" si="161"/>
        <v>-740818</v>
      </c>
      <c r="Z81" s="50"/>
      <c r="AA81" s="14">
        <f t="shared" si="163"/>
        <v>380710</v>
      </c>
      <c r="AB81" s="45">
        <f t="shared" si="164"/>
        <v>1473.6210567060189</v>
      </c>
      <c r="AE81" s="6" t="str">
        <f t="shared" si="165"/>
        <v>Imposto s/ rendimento do período</v>
      </c>
      <c r="AF81" s="6"/>
      <c r="AG81" s="14">
        <f t="shared" si="169"/>
        <v>25835</v>
      </c>
      <c r="AH81" s="45">
        <f t="shared" si="166"/>
        <v>100</v>
      </c>
      <c r="AI81" s="14">
        <f t="shared" si="170"/>
        <v>-740818</v>
      </c>
      <c r="AJ81" s="50"/>
      <c r="AK81" s="14">
        <f t="shared" si="171"/>
        <v>380710</v>
      </c>
      <c r="AL81" s="50"/>
    </row>
    <row r="82" spans="2:39" ht="15" customHeight="1">
      <c r="B82" s="6" t="str">
        <f>'DR Contab'!B29</f>
        <v>Imposto diferido</v>
      </c>
      <c r="C82" s="6"/>
      <c r="D82" s="14">
        <f>'DR Contab'!D29</f>
        <v>0</v>
      </c>
      <c r="E82" s="14">
        <f>'DR Contab'!E29</f>
        <v>0</v>
      </c>
      <c r="F82" s="14">
        <f>'DR Contab'!F29</f>
        <v>0</v>
      </c>
      <c r="G82" s="32">
        <f>E82-D82</f>
        <v>0</v>
      </c>
      <c r="H82" s="32">
        <f>F82-E82</f>
        <v>0</v>
      </c>
      <c r="I82" s="28"/>
      <c r="K82" s="6" t="str">
        <f t="shared" si="151"/>
        <v>Imposto diferido</v>
      </c>
      <c r="L82" s="6"/>
      <c r="M82" s="14">
        <f t="shared" si="174"/>
        <v>0</v>
      </c>
      <c r="N82" s="39">
        <f t="shared" si="153"/>
        <v>0</v>
      </c>
      <c r="O82" s="14">
        <f t="shared" si="175"/>
        <v>0</v>
      </c>
      <c r="P82" s="39">
        <f t="shared" si="155"/>
        <v>0</v>
      </c>
      <c r="Q82" s="14">
        <f t="shared" si="176"/>
        <v>0</v>
      </c>
      <c r="R82" s="39">
        <f t="shared" si="157"/>
        <v>0</v>
      </c>
      <c r="U82" s="6" t="str">
        <f t="shared" si="158"/>
        <v>Imposto diferido</v>
      </c>
      <c r="V82" s="6"/>
      <c r="W82" s="14">
        <f t="shared" si="159"/>
        <v>0</v>
      </c>
      <c r="X82" s="45"/>
      <c r="Y82" s="14">
        <f t="shared" si="161"/>
        <v>0</v>
      </c>
      <c r="Z82" s="45"/>
      <c r="AA82" s="14">
        <f t="shared" si="163"/>
        <v>0</v>
      </c>
      <c r="AB82" s="45"/>
      <c r="AE82" s="6" t="str">
        <f t="shared" si="165"/>
        <v>Imposto diferido</v>
      </c>
      <c r="AF82" s="6"/>
      <c r="AG82" s="14">
        <f t="shared" si="169"/>
        <v>0</v>
      </c>
      <c r="AH82" s="45"/>
      <c r="AI82" s="14">
        <f t="shared" si="170"/>
        <v>0</v>
      </c>
      <c r="AJ82" s="45"/>
      <c r="AK82" s="14">
        <f t="shared" si="171"/>
        <v>0</v>
      </c>
      <c r="AL82" s="45"/>
    </row>
    <row r="83" spans="2:39" ht="15" customHeight="1" thickBot="1">
      <c r="B83" s="11" t="str">
        <f>'DR Contab'!B30</f>
        <v>Resultado liquido do período</v>
      </c>
      <c r="C83" s="11"/>
      <c r="D83" s="16">
        <f>SUM(D80:D82)</f>
        <v>2308131</v>
      </c>
      <c r="E83" s="16">
        <f t="shared" ref="E83:F83" si="182">SUM(E80:E82)</f>
        <v>2347896</v>
      </c>
      <c r="F83" s="16">
        <f t="shared" si="182"/>
        <v>2279250</v>
      </c>
      <c r="G83" s="34">
        <f t="shared" si="149"/>
        <v>39765</v>
      </c>
      <c r="H83" s="34">
        <f t="shared" si="150"/>
        <v>-68646</v>
      </c>
      <c r="I83" s="29"/>
      <c r="K83" s="22" t="str">
        <f t="shared" si="151"/>
        <v>Resultado liquido do período</v>
      </c>
      <c r="L83" s="11"/>
      <c r="M83" s="16">
        <f>SUM(M80:M82)</f>
        <v>2308131</v>
      </c>
      <c r="N83" s="41">
        <f t="shared" si="153"/>
        <v>6.7068508598127768E-2</v>
      </c>
      <c r="O83" s="16">
        <f t="shared" ref="O83:Q83" si="183">SUM(O80:O82)</f>
        <v>2347896</v>
      </c>
      <c r="P83" s="41">
        <f t="shared" si="155"/>
        <v>6.5031567327701573E-2</v>
      </c>
      <c r="Q83" s="16">
        <f t="shared" si="183"/>
        <v>2279250</v>
      </c>
      <c r="R83" s="41">
        <f t="shared" si="157"/>
        <v>5.7643462419535302E-2</v>
      </c>
      <c r="U83" s="22" t="str">
        <f t="shared" si="158"/>
        <v>Resultado liquido do período</v>
      </c>
      <c r="V83" s="11"/>
      <c r="W83" s="16">
        <f t="shared" si="159"/>
        <v>2308131</v>
      </c>
      <c r="X83" s="47">
        <f t="shared" si="160"/>
        <v>100</v>
      </c>
      <c r="Y83" s="16">
        <f t="shared" si="161"/>
        <v>2347896</v>
      </c>
      <c r="Z83" s="47">
        <f t="shared" si="162"/>
        <v>101.72282249144438</v>
      </c>
      <c r="AA83" s="16">
        <f t="shared" si="163"/>
        <v>2279250</v>
      </c>
      <c r="AB83" s="47">
        <f t="shared" si="164"/>
        <v>98.748727866832525</v>
      </c>
      <c r="AE83" s="22" t="str">
        <f t="shared" si="165"/>
        <v>Resultado liquido do período</v>
      </c>
      <c r="AF83" s="11"/>
      <c r="AG83" s="16">
        <f t="shared" si="169"/>
        <v>2308131</v>
      </c>
      <c r="AH83" s="47">
        <f t="shared" si="166"/>
        <v>100</v>
      </c>
      <c r="AI83" s="16">
        <f t="shared" si="170"/>
        <v>2347896</v>
      </c>
      <c r="AJ83" s="47">
        <f t="shared" si="167"/>
        <v>101.72282249144438</v>
      </c>
      <c r="AK83" s="16">
        <f t="shared" si="171"/>
        <v>2279250</v>
      </c>
      <c r="AL83" s="47">
        <f t="shared" ref="AL83" si="184">(AK83/AG83)*100</f>
        <v>98.748727866832525</v>
      </c>
    </row>
    <row r="84" spans="2:39" ht="15" customHeight="1" thickTop="1"/>
    <row r="85" spans="2:39" ht="15" customHeight="1">
      <c r="D85" s="18">
        <f>D83-D35</f>
        <v>0</v>
      </c>
      <c r="E85" s="18">
        <f>E83-E35</f>
        <v>0</v>
      </c>
      <c r="F85" s="18">
        <f>F83-F35</f>
        <v>0</v>
      </c>
      <c r="H85" s="38"/>
      <c r="I85" s="1" t="s">
        <v>205</v>
      </c>
      <c r="M85" s="18">
        <f>M83-M35</f>
        <v>0</v>
      </c>
      <c r="N85" s="18"/>
      <c r="O85" s="18">
        <f>O83-O35</f>
        <v>0</v>
      </c>
      <c r="P85" s="18"/>
      <c r="Q85" s="18">
        <f>Q83-Q35</f>
        <v>0</v>
      </c>
      <c r="R85" s="18"/>
      <c r="W85" s="18">
        <f>W83-W35</f>
        <v>0</v>
      </c>
      <c r="X85" s="18"/>
      <c r="Y85" s="18">
        <f>Y83-Y35</f>
        <v>0</v>
      </c>
      <c r="Z85" s="18"/>
      <c r="AA85" s="18">
        <f>AA83-AA35</f>
        <v>0</v>
      </c>
      <c r="AB85" s="18"/>
      <c r="AG85" s="18">
        <f>AG83-AG35</f>
        <v>0</v>
      </c>
      <c r="AH85" s="18"/>
      <c r="AI85" s="18">
        <f>AI83-AI35</f>
        <v>0</v>
      </c>
      <c r="AJ85" s="18"/>
      <c r="AK85" s="18">
        <f>AK83-AK35</f>
        <v>0</v>
      </c>
      <c r="AL85" s="18"/>
    </row>
    <row r="86" spans="2:39" ht="15" customHeight="1">
      <c r="D86" s="18"/>
      <c r="E86" s="18"/>
      <c r="F86" s="18"/>
      <c r="M86" s="18"/>
      <c r="N86" s="18"/>
      <c r="O86" s="18"/>
      <c r="P86" s="18"/>
      <c r="Q86" s="18"/>
      <c r="W86" s="18"/>
      <c r="X86" s="18"/>
      <c r="Y86" s="18"/>
      <c r="Z86" s="18"/>
      <c r="AA86" s="18"/>
      <c r="AB86" s="51"/>
      <c r="AC86" s="1" t="s">
        <v>206</v>
      </c>
      <c r="AG86" s="18"/>
      <c r="AH86" s="18"/>
      <c r="AI86" s="18"/>
      <c r="AJ86" s="18"/>
      <c r="AK86" s="18"/>
      <c r="AL86" s="51"/>
      <c r="AM86" s="1" t="s">
        <v>206</v>
      </c>
    </row>
  </sheetData>
  <mergeCells count="57">
    <mergeCell ref="AE58:AE59"/>
    <mergeCell ref="AF58:AF59"/>
    <mergeCell ref="AG58:AH58"/>
    <mergeCell ref="AI58:AJ58"/>
    <mergeCell ref="AK58:AL58"/>
    <mergeCell ref="AE5:AE6"/>
    <mergeCell ref="AF5:AF6"/>
    <mergeCell ref="AG5:AH5"/>
    <mergeCell ref="AI5:AJ5"/>
    <mergeCell ref="AK5:AL5"/>
    <mergeCell ref="AE25:AE26"/>
    <mergeCell ref="AF25:AF26"/>
    <mergeCell ref="AG25:AH25"/>
    <mergeCell ref="AI25:AJ25"/>
    <mergeCell ref="AK25:AL25"/>
    <mergeCell ref="AA58:AB58"/>
    <mergeCell ref="U58:U59"/>
    <mergeCell ref="V58:V59"/>
    <mergeCell ref="W25:X25"/>
    <mergeCell ref="Y25:Z25"/>
    <mergeCell ref="AA25:AB25"/>
    <mergeCell ref="U25:U26"/>
    <mergeCell ref="V25:V26"/>
    <mergeCell ref="W58:X58"/>
    <mergeCell ref="Y58:Z58"/>
    <mergeCell ref="U5:U6"/>
    <mergeCell ref="V5:V6"/>
    <mergeCell ref="W5:X5"/>
    <mergeCell ref="Y5:Z5"/>
    <mergeCell ref="AA5:AB5"/>
    <mergeCell ref="M58:N58"/>
    <mergeCell ref="O58:P58"/>
    <mergeCell ref="Q58:R58"/>
    <mergeCell ref="K5:K6"/>
    <mergeCell ref="L5:L6"/>
    <mergeCell ref="K58:K59"/>
    <mergeCell ref="L58:L59"/>
    <mergeCell ref="K25:K26"/>
    <mergeCell ref="M5:N5"/>
    <mergeCell ref="O5:P5"/>
    <mergeCell ref="Q5:R5"/>
    <mergeCell ref="M25:N25"/>
    <mergeCell ref="O25:P25"/>
    <mergeCell ref="Q25:R25"/>
    <mergeCell ref="L25:L26"/>
    <mergeCell ref="G58:H58"/>
    <mergeCell ref="G5:H5"/>
    <mergeCell ref="B25:B26"/>
    <mergeCell ref="C25:C26"/>
    <mergeCell ref="D25:F25"/>
    <mergeCell ref="G25:H25"/>
    <mergeCell ref="B58:B59"/>
    <mergeCell ref="C58:C59"/>
    <mergeCell ref="B5:B6"/>
    <mergeCell ref="C5:C6"/>
    <mergeCell ref="D5:F5"/>
    <mergeCell ref="D58:F58"/>
  </mergeCells>
  <pageMargins left="0.7" right="0.7" top="0.75" bottom="0.75" header="0.3" footer="0.3"/>
  <ignoredErrors>
    <ignoredError sqref="G67:H68 G72:H74 G78:H78 G80:H80 N36 N43 N51:N53 P36 P43 P51:P53 M73:Q73 M76:Q76 M80:Q80 N83 P83 Z15 Z17 X41 X36 Z36 Z41 Z45 X60:X62 X64:X69 Z60:Z61 Z64:Z66 Z68 Z71:Z74 AH15 AJ15:AK15 AJ17 AK16 AH36:AH39 AJ36 AJ45 AK37:AK39 AH60:AH62 AH64:AH69 AJ60:AJ61 AJ64:AJ66 AJ68 AJ71:AJ74 AK60:AK83 AH9 Z9 X9 X15:X17 Z23:Z24 AH17 AJ24 AH29 Z29 X29 X43:X45 Z43 AH43:AH45 AJ43 AK44 Z51:Z53 AJ51:AJ53 X51:X53 AH51:AH53 N15:R15 N23:R24 X23:X24 AH23:AH24 AJ9 AK9:AK14 AJ23 AK17:AK24 AJ29 AK29:AK36 AK41:AK43 AK45:AK50 AK51:AK53 X71:X74 X76:X77 Z76:Z77 X79:X81 Z79:Z80 X83 Z83 AH71:AH74 AH76:AH77 AJ76:AJ77 AH79:AH81 AJ79:AJ80 AJ83 AH8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2F6D-EEEC-4CC4-B850-2546BEDC478F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F3E0-23F8-45DB-B91F-C18395FB67B5}">
  <dimension ref="B2:P135"/>
  <sheetViews>
    <sheetView zoomScale="70" zoomScaleNormal="70" workbookViewId="0">
      <selection activeCell="H58" sqref="H58"/>
    </sheetView>
  </sheetViews>
  <sheetFormatPr defaultRowHeight="14.45"/>
  <cols>
    <col min="2" max="2" width="56.7109375" customWidth="1"/>
    <col min="4" max="4" width="11.140625" bestFit="1" customWidth="1"/>
    <col min="5" max="5" width="18.85546875" bestFit="1" customWidth="1"/>
    <col min="6" max="6" width="16.42578125" bestFit="1" customWidth="1"/>
    <col min="7" max="7" width="12.5703125" customWidth="1"/>
    <col min="8" max="8" width="75.85546875" customWidth="1"/>
  </cols>
  <sheetData>
    <row r="2" spans="2:8">
      <c r="B2" s="122" t="s">
        <v>207</v>
      </c>
      <c r="C2" s="67"/>
      <c r="D2" s="135"/>
      <c r="E2" s="105"/>
      <c r="F2" s="85"/>
      <c r="G2" s="136" t="s">
        <v>4</v>
      </c>
    </row>
    <row r="3" spans="2:8">
      <c r="B3" s="324" t="s">
        <v>5</v>
      </c>
      <c r="C3" s="310" t="s">
        <v>6</v>
      </c>
      <c r="D3" s="335" t="s">
        <v>7</v>
      </c>
      <c r="E3" s="336"/>
      <c r="F3" s="336"/>
      <c r="G3" s="337"/>
    </row>
    <row r="4" spans="2:8" ht="16.149999999999999">
      <c r="B4" s="325"/>
      <c r="C4" s="319"/>
      <c r="D4" s="111" t="s">
        <v>208</v>
      </c>
      <c r="E4" s="79">
        <v>2022</v>
      </c>
      <c r="F4" s="137">
        <v>2023</v>
      </c>
      <c r="G4" s="79">
        <v>2024</v>
      </c>
    </row>
    <row r="5" spans="2:8">
      <c r="B5" s="138" t="s">
        <v>209</v>
      </c>
      <c r="C5" s="139"/>
      <c r="D5" s="189">
        <f>+'Balanço Funcional'!D15</f>
        <v>25364486</v>
      </c>
      <c r="E5" s="189">
        <f>+'Balanço Funcional'!E15</f>
        <v>23534911</v>
      </c>
      <c r="F5" s="189">
        <f>+'Balanço Funcional'!F15</f>
        <v>22056780.5</v>
      </c>
      <c r="G5" s="189">
        <f>+'Balanço Funcional'!G15</f>
        <v>24537744.5</v>
      </c>
    </row>
    <row r="6" spans="2:8">
      <c r="B6" s="140" t="s">
        <v>210</v>
      </c>
      <c r="C6" s="141"/>
      <c r="D6" s="190">
        <f>+'Balanço Funcional'!D8+'Balanço Funcional'!D10</f>
        <v>21630561</v>
      </c>
      <c r="E6" s="190">
        <f>+'Balanço Funcional'!E8+'Balanço Funcional'!E10</f>
        <v>19738010</v>
      </c>
      <c r="F6" s="190">
        <f>+'Balanço Funcional'!F8+'Balanço Funcional'!F10</f>
        <v>18927612.5</v>
      </c>
      <c r="G6" s="190">
        <f>+'Balanço Funcional'!G8+'Balanço Funcional'!G10</f>
        <v>20972234.5</v>
      </c>
      <c r="H6" s="200" t="s">
        <v>211</v>
      </c>
    </row>
    <row r="7" spans="2:8" ht="15.6">
      <c r="B7" s="140" t="s">
        <v>212</v>
      </c>
      <c r="C7" s="141"/>
      <c r="D7" s="239" t="s">
        <v>213</v>
      </c>
      <c r="E7" s="190">
        <f>(E6+D6)/2</f>
        <v>20684285.5</v>
      </c>
      <c r="F7" s="190">
        <f>(F6+E6)/2</f>
        <v>19332811.25</v>
      </c>
      <c r="G7" s="190">
        <f>(G6+F6)/2</f>
        <v>19949923.5</v>
      </c>
      <c r="H7" s="198"/>
    </row>
    <row r="8" spans="2:8">
      <c r="B8" s="140" t="s">
        <v>17</v>
      </c>
      <c r="C8" s="141"/>
      <c r="D8" s="190">
        <f>+'Balanço Funcional'!D17</f>
        <v>2142568</v>
      </c>
      <c r="E8" s="190">
        <f>+'Balanço Funcional'!E17</f>
        <v>2476629</v>
      </c>
      <c r="F8" s="190">
        <f>+'Balanço Funcional'!F17</f>
        <v>2368546</v>
      </c>
      <c r="G8" s="190">
        <f>+'Balanço Funcional'!G17</f>
        <v>2667287</v>
      </c>
      <c r="H8" s="198"/>
    </row>
    <row r="9" spans="2:8" ht="15.6">
      <c r="B9" s="140" t="s">
        <v>214</v>
      </c>
      <c r="C9" s="141"/>
      <c r="D9" s="239" t="s">
        <v>213</v>
      </c>
      <c r="E9" s="190">
        <f>(D8+E8)/2</f>
        <v>2309598.5</v>
      </c>
      <c r="F9" s="190">
        <f>(E8+F8)/2</f>
        <v>2422587.5</v>
      </c>
      <c r="G9" s="190">
        <f>(F8+G8)/2</f>
        <v>2517916.5</v>
      </c>
      <c r="H9" s="198"/>
    </row>
    <row r="10" spans="2:8">
      <c r="B10" s="140" t="s">
        <v>215</v>
      </c>
      <c r="C10" s="141"/>
      <c r="D10" s="190">
        <v>2031389</v>
      </c>
      <c r="E10" s="190">
        <v>2362202</v>
      </c>
      <c r="F10" s="190">
        <v>2313333</v>
      </c>
      <c r="G10" s="190">
        <v>2480109</v>
      </c>
      <c r="H10" s="198" t="s">
        <v>216</v>
      </c>
    </row>
    <row r="11" spans="2:8" ht="15.6">
      <c r="B11" s="140" t="s">
        <v>217</v>
      </c>
      <c r="C11" s="141"/>
      <c r="D11" s="239" t="s">
        <v>213</v>
      </c>
      <c r="E11" s="190">
        <f>(D10+E10)/2</f>
        <v>2196795.5</v>
      </c>
      <c r="F11" s="190">
        <f>(E10+F10)/2</f>
        <v>2337767.5</v>
      </c>
      <c r="G11" s="190">
        <f>(F10+G10)/2</f>
        <v>2396721</v>
      </c>
      <c r="H11" s="198"/>
    </row>
    <row r="12" spans="2:8">
      <c r="B12" s="140" t="s">
        <v>18</v>
      </c>
      <c r="C12" s="141"/>
      <c r="D12" s="190">
        <f>+'Balanço Funcional'!D18</f>
        <v>9505101</v>
      </c>
      <c r="E12" s="190">
        <f>+'Balanço Funcional'!E18</f>
        <v>10993343</v>
      </c>
      <c r="F12" s="190">
        <f>+'Balanço Funcional'!F18</f>
        <v>13433627.5</v>
      </c>
      <c r="G12" s="190">
        <f>+'Balanço Funcional'!G18</f>
        <v>15033498.5</v>
      </c>
    </row>
    <row r="13" spans="2:8">
      <c r="B13" s="140" t="s">
        <v>42</v>
      </c>
      <c r="C13" s="141"/>
      <c r="D13" s="192">
        <f>+'Balanço Funcional'!D48</f>
        <v>288801</v>
      </c>
      <c r="E13" s="192">
        <f>+'Balanço Funcional'!E48</f>
        <v>174400</v>
      </c>
      <c r="F13" s="192">
        <f>+'Balanço Funcional'!F48</f>
        <v>1889441</v>
      </c>
      <c r="G13" s="192">
        <f>+'Balanço Funcional'!G48</f>
        <v>1863058</v>
      </c>
    </row>
    <row r="14" spans="2:8" ht="15.6">
      <c r="B14" s="140" t="s">
        <v>218</v>
      </c>
      <c r="C14" s="141"/>
      <c r="D14" s="239" t="s">
        <v>213</v>
      </c>
      <c r="E14" s="190">
        <f>((D12-D13)+(E12-E13))/2</f>
        <v>10017621.5</v>
      </c>
      <c r="F14" s="190">
        <f>((E12-E13)+(F12-F13))/2</f>
        <v>11181564.75</v>
      </c>
      <c r="G14" s="190">
        <f>((F12-F13)+(G12-G13))/2</f>
        <v>12357313.5</v>
      </c>
    </row>
    <row r="15" spans="2:8">
      <c r="B15" s="140" t="s">
        <v>219</v>
      </c>
      <c r="C15" s="142"/>
      <c r="D15" s="190">
        <f>+'Balanço Funcional'!D26</f>
        <v>1461954</v>
      </c>
      <c r="E15" s="190">
        <f>+'Balanço Funcional'!E26</f>
        <v>2257927</v>
      </c>
      <c r="F15" s="190">
        <f>+'Balanço Funcional'!F26</f>
        <v>4138413</v>
      </c>
      <c r="G15" s="190">
        <f>+'Balanço Funcional'!G26</f>
        <v>1799870</v>
      </c>
      <c r="H15" s="200" t="s">
        <v>220</v>
      </c>
    </row>
    <row r="16" spans="2:8">
      <c r="B16" s="140" t="s">
        <v>221</v>
      </c>
      <c r="C16" s="142"/>
      <c r="D16" s="190">
        <f>+'Balanço Funcional'!D22+'Balanço Funcional'!D27</f>
        <v>17121043</v>
      </c>
      <c r="E16" s="190">
        <f>+'Balanço Funcional'!E22+'Balanço Funcional'!E27</f>
        <v>20342241</v>
      </c>
      <c r="F16" s="190">
        <f>+'Balanço Funcional'!F22+'Balanço Funcional'!F27</f>
        <v>25880846.5</v>
      </c>
      <c r="G16" s="190">
        <f>+'Balanço Funcional'!G22+'Balanço Funcional'!G27</f>
        <v>27534427.5</v>
      </c>
    </row>
    <row r="17" spans="2:8" ht="15.6">
      <c r="B17" s="140" t="s">
        <v>222</v>
      </c>
      <c r="C17" s="142"/>
      <c r="D17" s="239" t="s">
        <v>213</v>
      </c>
      <c r="E17" s="190">
        <f>(E16+D16)/2</f>
        <v>18731642</v>
      </c>
      <c r="F17" s="190">
        <f>(F16+E16)/2</f>
        <v>23111543.75</v>
      </c>
      <c r="G17" s="190">
        <f>(G16+F16)/2</f>
        <v>26707637</v>
      </c>
    </row>
    <row r="18" spans="2:8">
      <c r="B18" s="140" t="s">
        <v>223</v>
      </c>
      <c r="C18" s="142"/>
      <c r="D18" s="190">
        <f>+'Balanço Funcional'!D28</f>
        <v>42485529</v>
      </c>
      <c r="E18" s="190">
        <f>+'Balanço Funcional'!E28</f>
        <v>43877152</v>
      </c>
      <c r="F18" s="190">
        <f>+'Balanço Funcional'!F28</f>
        <v>47937627</v>
      </c>
      <c r="G18" s="190">
        <f>+'Balanço Funcional'!G28</f>
        <v>52072172</v>
      </c>
    </row>
    <row r="19" spans="2:8" ht="15.6">
      <c r="B19" s="143" t="s">
        <v>224</v>
      </c>
      <c r="C19" s="144"/>
      <c r="D19" s="239" t="s">
        <v>213</v>
      </c>
      <c r="E19" s="190">
        <f>(D18+E18)/2</f>
        <v>43181340.5</v>
      </c>
      <c r="F19" s="190">
        <f>(E18+F18)/2</f>
        <v>45907389.5</v>
      </c>
      <c r="G19" s="190">
        <f>(F18+G18)/2</f>
        <v>50004899.5</v>
      </c>
    </row>
    <row r="20" spans="2:8">
      <c r="B20" s="145"/>
      <c r="C20" s="146"/>
      <c r="D20" s="193"/>
      <c r="E20" s="193"/>
      <c r="F20" s="194"/>
      <c r="G20" s="195"/>
    </row>
    <row r="21" spans="2:8">
      <c r="B21" s="147" t="s">
        <v>225</v>
      </c>
      <c r="C21" s="148"/>
      <c r="D21" s="196">
        <f>+'Balanço Funcional'!D38</f>
        <v>18946407</v>
      </c>
      <c r="E21" s="196">
        <f>+'Balanço Funcional'!E38</f>
        <v>20592555</v>
      </c>
      <c r="F21" s="196">
        <f>+'Balanço Funcional'!F38</f>
        <v>22440758</v>
      </c>
      <c r="G21" s="196">
        <f>+'Balanço Funcional'!G38</f>
        <v>24359800</v>
      </c>
    </row>
    <row r="22" spans="2:8" ht="15.6">
      <c r="B22" s="140" t="s">
        <v>226</v>
      </c>
      <c r="C22" s="142"/>
      <c r="D22" s="239" t="s">
        <v>213</v>
      </c>
      <c r="E22" s="190">
        <f>(D21+E21)/2</f>
        <v>19769481</v>
      </c>
      <c r="F22" s="190">
        <f>(E21+F21)/2</f>
        <v>21516656.5</v>
      </c>
      <c r="G22" s="190">
        <f>(F21+G21)/2</f>
        <v>23400279</v>
      </c>
    </row>
    <row r="23" spans="2:8">
      <c r="B23" s="149" t="s">
        <v>227</v>
      </c>
      <c r="C23" s="142"/>
      <c r="D23" s="190">
        <f>'Balanço Funcional'!D38-('Balanço Funcional'!D37)</f>
        <v>19408653</v>
      </c>
      <c r="E23" s="190">
        <f>'Balanço Funcional'!E38-'Balanço Funcional'!E37</f>
        <v>18284424</v>
      </c>
      <c r="F23" s="190">
        <f>+'Balanço Funcional'!F38-'Balanço Funcional'!F37</f>
        <v>20092862</v>
      </c>
      <c r="G23" s="190">
        <f>'Balanço Funcional'!G38-'Balanço Funcional'!G37</f>
        <v>22080550</v>
      </c>
    </row>
    <row r="24" spans="2:8" ht="15.6">
      <c r="B24" s="140" t="s">
        <v>228</v>
      </c>
      <c r="C24" s="141" t="s">
        <v>229</v>
      </c>
      <c r="D24" s="239" t="s">
        <v>213</v>
      </c>
      <c r="E24" s="274">
        <f>(E23+D23)/2</f>
        <v>18846538.5</v>
      </c>
      <c r="F24" s="274">
        <f>(F23+E23)/2</f>
        <v>19188643</v>
      </c>
      <c r="G24" s="274">
        <f>(G23+F23)/2</f>
        <v>21086706</v>
      </c>
      <c r="H24" s="198" t="s">
        <v>230</v>
      </c>
    </row>
    <row r="25" spans="2:8">
      <c r="B25" s="140" t="s">
        <v>231</v>
      </c>
      <c r="C25" s="142"/>
      <c r="D25" s="190">
        <f>+'Balanço Funcional'!D44</f>
        <v>14554730</v>
      </c>
      <c r="E25" s="190">
        <f>+'Balanço Funcional'!E44</f>
        <v>14383300</v>
      </c>
      <c r="F25" s="190">
        <f>+'Balanço Funcional'!F44</f>
        <v>12835058</v>
      </c>
      <c r="G25" s="190">
        <f>+'Balanço Funcional'!G44</f>
        <v>15750541</v>
      </c>
    </row>
    <row r="26" spans="2:8">
      <c r="B26" s="149" t="s">
        <v>232</v>
      </c>
      <c r="C26" s="142"/>
      <c r="D26" s="190">
        <f>+'Balanço Funcional'!D45</f>
        <v>33501137</v>
      </c>
      <c r="E26" s="190">
        <f>+'Balanço Funcional'!E45</f>
        <v>34975855</v>
      </c>
      <c r="F26" s="190">
        <f>+'Balanço Funcional'!F45</f>
        <v>35275816</v>
      </c>
      <c r="G26" s="190">
        <f>+'Balanço Funcional'!G45</f>
        <v>40110341</v>
      </c>
    </row>
    <row r="27" spans="2:8">
      <c r="B27" s="149" t="s">
        <v>41</v>
      </c>
      <c r="C27" s="142"/>
      <c r="D27" s="190">
        <f>+'Balanço Funcional'!D47</f>
        <v>710998</v>
      </c>
      <c r="E27" s="190">
        <f>+'Balanço Funcional'!E47</f>
        <v>1415895</v>
      </c>
      <c r="F27" s="190">
        <f>+'Balanço Funcional'!F47</f>
        <v>633029</v>
      </c>
      <c r="G27" s="190">
        <f>+'Balanço Funcional'!G47</f>
        <v>721181</v>
      </c>
    </row>
    <row r="28" spans="2:8">
      <c r="B28" s="149" t="s">
        <v>64</v>
      </c>
      <c r="C28" s="142"/>
      <c r="D28" s="190">
        <v>219243</v>
      </c>
      <c r="E28" s="190">
        <f>+'Balanço Contab'!D71</f>
        <v>159197</v>
      </c>
      <c r="F28" s="190">
        <f>+'Balanço Contab'!E71</f>
        <v>154858</v>
      </c>
      <c r="G28" s="190">
        <f>+'Balanço Contab'!F71</f>
        <v>387998</v>
      </c>
      <c r="H28" s="199" t="s">
        <v>233</v>
      </c>
    </row>
    <row r="29" spans="2:8" ht="15.6">
      <c r="B29" s="140" t="s">
        <v>234</v>
      </c>
      <c r="C29" s="142"/>
      <c r="D29" s="239" t="s">
        <v>213</v>
      </c>
      <c r="E29" s="190">
        <f>((D27-D28)+(E27-E28))/2</f>
        <v>874226.5</v>
      </c>
      <c r="F29" s="190">
        <f>((E27-E28)+(F27-F28))/2</f>
        <v>867434.5</v>
      </c>
      <c r="G29" s="190">
        <f>((F27-F28)+(G27-G28))/2</f>
        <v>405677</v>
      </c>
    </row>
    <row r="30" spans="2:8">
      <c r="B30" s="149" t="s">
        <v>235</v>
      </c>
      <c r="C30" s="142"/>
      <c r="D30" s="190">
        <f>+'Balanço Funcional'!D52+'Balanço Funcional'!D56</f>
        <v>9059375</v>
      </c>
      <c r="E30" s="190">
        <f>'Balanço Funcional'!E52+'Balanço Funcional'!E56</f>
        <v>8901297</v>
      </c>
      <c r="F30" s="190">
        <f>+'Balanço Funcional'!F52+'Balanço Funcional'!F56</f>
        <v>12661811</v>
      </c>
      <c r="G30" s="190">
        <f>+'Balanço Funcional'!G52+'Balanço Funcional'!G56</f>
        <v>11961831</v>
      </c>
      <c r="H30" s="52"/>
    </row>
    <row r="31" spans="2:8">
      <c r="B31" s="149" t="s">
        <v>236</v>
      </c>
      <c r="C31" s="142"/>
      <c r="D31" s="190">
        <f>+'Balanço Funcional'!D58</f>
        <v>42560512</v>
      </c>
      <c r="E31" s="190">
        <f>+'Balanço Funcional'!E58</f>
        <v>43877152</v>
      </c>
      <c r="F31" s="190">
        <f>+'Balanço Funcional'!F58</f>
        <v>47937627</v>
      </c>
      <c r="G31" s="190">
        <f>+'Balanço Funcional'!G58</f>
        <v>52072172</v>
      </c>
    </row>
    <row r="32" spans="2:8" ht="15.6">
      <c r="B32" s="151" t="s">
        <v>237</v>
      </c>
      <c r="C32" s="152"/>
      <c r="D32" s="240" t="s">
        <v>213</v>
      </c>
      <c r="E32" s="197">
        <f>(D31+E31)/2</f>
        <v>43218832</v>
      </c>
      <c r="F32" s="197">
        <f>(E31+F31)/2</f>
        <v>45907389.5</v>
      </c>
      <c r="G32" s="197">
        <f>(F31+G31)/2</f>
        <v>50004899.5</v>
      </c>
    </row>
    <row r="33" spans="2:9">
      <c r="C33" s="1"/>
      <c r="F33" s="52"/>
    </row>
    <row r="34" spans="2:9">
      <c r="B34" s="118" t="s">
        <v>238</v>
      </c>
      <c r="C34" s="118"/>
      <c r="D34" s="264"/>
      <c r="E34" s="264"/>
      <c r="F34" s="264"/>
      <c r="G34" s="264"/>
    </row>
    <row r="35" spans="2:9">
      <c r="B35" s="340" t="s">
        <v>239</v>
      </c>
      <c r="C35" s="340"/>
      <c r="D35" s="340"/>
      <c r="E35" s="340"/>
      <c r="F35" s="340"/>
      <c r="G35" s="340"/>
    </row>
    <row r="36" spans="2:9" ht="15">
      <c r="B36" s="340" t="s">
        <v>240</v>
      </c>
      <c r="C36" s="340"/>
      <c r="D36" s="340"/>
      <c r="E36" s="340"/>
      <c r="F36" s="340"/>
      <c r="G36" s="340"/>
    </row>
    <row r="37" spans="2:9">
      <c r="C37" s="1"/>
      <c r="F37" s="52"/>
    </row>
    <row r="38" spans="2:9">
      <c r="B38" s="133" t="s">
        <v>241</v>
      </c>
      <c r="C38" s="67"/>
      <c r="D38" s="135"/>
      <c r="E38" s="105"/>
      <c r="F38" s="85"/>
      <c r="G38" s="136" t="s">
        <v>4</v>
      </c>
    </row>
    <row r="39" spans="2:9">
      <c r="B39" s="324" t="s">
        <v>5</v>
      </c>
      <c r="C39" s="310" t="s">
        <v>6</v>
      </c>
      <c r="D39" s="335" t="s">
        <v>7</v>
      </c>
      <c r="E39" s="336"/>
      <c r="F39" s="336"/>
      <c r="G39" s="337"/>
    </row>
    <row r="40" spans="2:9" ht="16.149999999999999">
      <c r="B40" s="325"/>
      <c r="C40" s="338"/>
      <c r="D40" s="111" t="s">
        <v>242</v>
      </c>
      <c r="E40" s="79">
        <v>2022</v>
      </c>
      <c r="F40" s="137">
        <v>2023</v>
      </c>
      <c r="G40" s="79">
        <v>2024</v>
      </c>
    </row>
    <row r="41" spans="2:9">
      <c r="B41" s="138" t="s">
        <v>243</v>
      </c>
      <c r="C41" s="221" t="s">
        <v>244</v>
      </c>
      <c r="D41" s="245" t="s">
        <v>245</v>
      </c>
      <c r="E41" s="189">
        <f>+'DR Contab'!D7</f>
        <v>34414527</v>
      </c>
      <c r="F41" s="189">
        <f>+'DR Contab'!E7</f>
        <v>36103943</v>
      </c>
      <c r="G41" s="189">
        <f>+'DR Contab'!F7</f>
        <v>39540477</v>
      </c>
    </row>
    <row r="42" spans="2:9">
      <c r="B42" s="140" t="s">
        <v>246</v>
      </c>
      <c r="C42" s="224" t="s">
        <v>247</v>
      </c>
      <c r="D42" s="191" t="s">
        <v>245</v>
      </c>
      <c r="E42" s="190">
        <f>E61*1.23+E62</f>
        <v>40430186.43</v>
      </c>
      <c r="F42" s="190">
        <f>F61*1.23+F62</f>
        <v>41916677.799999997</v>
      </c>
      <c r="G42" s="190">
        <f>G61*1.23+G62</f>
        <v>45724607.519999996</v>
      </c>
      <c r="H42" s="199" t="s">
        <v>248</v>
      </c>
      <c r="I42" s="198"/>
    </row>
    <row r="43" spans="2:9">
      <c r="B43" s="154" t="s">
        <v>249</v>
      </c>
      <c r="C43" s="224"/>
      <c r="D43" s="191" t="s">
        <v>245</v>
      </c>
      <c r="E43" s="190">
        <f>-'DR Contab'!D11</f>
        <v>9270182</v>
      </c>
      <c r="F43" s="190">
        <f>-'DR Contab'!E11</f>
        <v>9474096</v>
      </c>
      <c r="G43" s="190">
        <f>-'DR Contab'!F11</f>
        <v>10429861</v>
      </c>
      <c r="H43" s="150" t="s">
        <v>250</v>
      </c>
      <c r="I43" s="198" t="s">
        <v>251</v>
      </c>
    </row>
    <row r="44" spans="2:9">
      <c r="B44" s="140" t="s">
        <v>252</v>
      </c>
      <c r="C44" s="224"/>
      <c r="D44" s="191" t="s">
        <v>245</v>
      </c>
      <c r="E44" s="190">
        <v>9537531</v>
      </c>
      <c r="F44" s="190">
        <v>9425227</v>
      </c>
      <c r="G44" s="190">
        <v>10596637</v>
      </c>
      <c r="H44" s="200" t="s">
        <v>253</v>
      </c>
    </row>
    <row r="45" spans="2:9">
      <c r="B45" s="140" t="s">
        <v>254</v>
      </c>
      <c r="C45" s="224" t="s">
        <v>247</v>
      </c>
      <c r="D45" s="191" t="s">
        <v>245</v>
      </c>
      <c r="E45" s="190">
        <f>E70*1.23+E73</f>
        <v>10853710.370000001</v>
      </c>
      <c r="F45" s="190">
        <f>F70*1.23+F73</f>
        <v>10769264.43</v>
      </c>
      <c r="G45" s="190">
        <f>G70*1.23+G73</f>
        <v>12010228.27</v>
      </c>
      <c r="H45" s="301" t="s">
        <v>255</v>
      </c>
      <c r="I45" s="198"/>
    </row>
    <row r="46" spans="2:9">
      <c r="B46" s="241" t="s">
        <v>256</v>
      </c>
      <c r="C46" s="224" t="s">
        <v>257</v>
      </c>
      <c r="D46" s="191" t="s">
        <v>245</v>
      </c>
      <c r="E46" s="242"/>
      <c r="F46" s="242"/>
      <c r="G46" s="242"/>
      <c r="H46" s="265" t="s">
        <v>258</v>
      </c>
    </row>
    <row r="47" spans="2:9">
      <c r="B47" s="243" t="s">
        <v>259</v>
      </c>
      <c r="C47" s="225" t="s">
        <v>247</v>
      </c>
      <c r="D47" s="246" t="s">
        <v>245</v>
      </c>
      <c r="E47" s="244"/>
      <c r="F47" s="244"/>
      <c r="G47" s="244"/>
      <c r="H47" s="232" t="s">
        <v>260</v>
      </c>
    </row>
    <row r="48" spans="2:9">
      <c r="B48" s="140" t="s">
        <v>261</v>
      </c>
      <c r="C48" s="224"/>
      <c r="D48" s="191" t="s">
        <v>245</v>
      </c>
      <c r="E48" s="190">
        <f>+'DR Contab'!D23</f>
        <v>2916084</v>
      </c>
      <c r="F48" s="190">
        <f>+'DR Contab'!E23</f>
        <v>3967148</v>
      </c>
      <c r="G48" s="190">
        <f>+'DR Contab'!F23</f>
        <v>3002044</v>
      </c>
      <c r="H48" s="199" t="s">
        <v>250</v>
      </c>
    </row>
    <row r="49" spans="2:8">
      <c r="B49" s="140" t="s">
        <v>262</v>
      </c>
      <c r="C49" s="224"/>
      <c r="D49" s="191" t="s">
        <v>245</v>
      </c>
      <c r="E49" s="190">
        <f>+'DR Contab'!D24</f>
        <v>1595</v>
      </c>
      <c r="F49" s="190">
        <f>+'DR Contab'!E24</f>
        <v>93572</v>
      </c>
      <c r="G49" s="190">
        <f>+'DR Contab'!F24</f>
        <v>47799</v>
      </c>
      <c r="H49" s="199" t="s">
        <v>263</v>
      </c>
    </row>
    <row r="50" spans="2:8">
      <c r="B50" s="155" t="s">
        <v>264</v>
      </c>
      <c r="C50" s="225"/>
      <c r="D50" s="247" t="s">
        <v>245</v>
      </c>
      <c r="E50" s="201">
        <f>-('DR Contab'!D25+'DR Contab'!D26)</f>
        <v>635383</v>
      </c>
      <c r="F50" s="201">
        <f>-('DR Contab'!E26)</f>
        <v>972006</v>
      </c>
      <c r="G50" s="201">
        <f>-('DR Contab'!F26)</f>
        <v>1151303</v>
      </c>
      <c r="H50" s="199" t="s">
        <v>265</v>
      </c>
    </row>
    <row r="51" spans="2:8">
      <c r="C51" s="1"/>
      <c r="F51" s="52"/>
      <c r="H51" s="157"/>
    </row>
    <row r="52" spans="2:8">
      <c r="B52" s="118" t="s">
        <v>238</v>
      </c>
      <c r="C52" s="202"/>
      <c r="D52" s="202"/>
      <c r="E52" s="202"/>
      <c r="F52" s="203"/>
      <c r="G52" s="202"/>
    </row>
    <row r="53" spans="2:8">
      <c r="B53" s="339" t="s">
        <v>266</v>
      </c>
      <c r="C53" s="339"/>
      <c r="D53" s="339"/>
      <c r="E53" s="339"/>
      <c r="F53" s="339"/>
      <c r="G53" s="339"/>
    </row>
    <row r="54" spans="2:8">
      <c r="B54" s="340" t="s">
        <v>267</v>
      </c>
      <c r="C54" s="340"/>
      <c r="D54" s="340"/>
      <c r="E54" s="340"/>
      <c r="F54" s="340"/>
      <c r="G54" s="340"/>
    </row>
    <row r="55" spans="2:8">
      <c r="B55" s="340" t="s">
        <v>268</v>
      </c>
      <c r="C55" s="340"/>
      <c r="D55" s="340"/>
      <c r="E55" s="340"/>
      <c r="F55" s="340"/>
      <c r="G55" s="340"/>
    </row>
    <row r="56" spans="2:8" ht="31.9" customHeight="1">
      <c r="B56" s="333" t="s">
        <v>269</v>
      </c>
      <c r="C56" s="333"/>
      <c r="D56" s="333"/>
      <c r="E56" s="333"/>
      <c r="F56" s="333"/>
      <c r="G56" s="333"/>
    </row>
    <row r="57" spans="2:8">
      <c r="B57" s="87"/>
      <c r="C57" s="87"/>
      <c r="D57" s="87"/>
      <c r="E57" s="87"/>
      <c r="F57" s="158"/>
      <c r="G57" s="87"/>
    </row>
    <row r="58" spans="2:8">
      <c r="B58" s="206" t="s">
        <v>270</v>
      </c>
      <c r="C58" s="87"/>
      <c r="D58" s="87"/>
      <c r="E58" s="87"/>
      <c r="F58" s="158"/>
      <c r="G58" s="136" t="s">
        <v>4</v>
      </c>
    </row>
    <row r="59" spans="2:8">
      <c r="B59" s="324" t="s">
        <v>5</v>
      </c>
      <c r="C59" s="310" t="s">
        <v>6</v>
      </c>
      <c r="D59" s="335" t="s">
        <v>7</v>
      </c>
      <c r="E59" s="336"/>
      <c r="F59" s="336"/>
      <c r="G59" s="337"/>
    </row>
    <row r="60" spans="2:8" ht="16.149999999999999">
      <c r="B60" s="325"/>
      <c r="C60" s="319"/>
      <c r="D60" s="111" t="s">
        <v>242</v>
      </c>
      <c r="E60" s="79">
        <v>2022</v>
      </c>
      <c r="F60" s="137">
        <v>2023</v>
      </c>
      <c r="G60" s="79">
        <v>2024</v>
      </c>
    </row>
    <row r="61" spans="2:8">
      <c r="B61" s="211" t="s">
        <v>271</v>
      </c>
      <c r="C61" s="159"/>
      <c r="D61" s="160" t="s">
        <v>245</v>
      </c>
      <c r="E61" s="189">
        <v>26155041</v>
      </c>
      <c r="F61" s="189">
        <v>25272760</v>
      </c>
      <c r="G61" s="189">
        <v>26887524</v>
      </c>
    </row>
    <row r="62" spans="2:8">
      <c r="B62" s="212" t="s">
        <v>272</v>
      </c>
      <c r="C62" s="161"/>
      <c r="D62" s="162" t="s">
        <v>245</v>
      </c>
      <c r="E62" s="201">
        <v>8259486</v>
      </c>
      <c r="F62" s="201">
        <v>10831183</v>
      </c>
      <c r="G62" s="201">
        <v>12652953</v>
      </c>
    </row>
    <row r="63" spans="2:8">
      <c r="B63" s="163" t="s">
        <v>273</v>
      </c>
      <c r="C63" s="164"/>
      <c r="D63" s="165" t="s">
        <v>245</v>
      </c>
      <c r="E63" s="205">
        <f>E61+E62</f>
        <v>34414527</v>
      </c>
      <c r="F63" s="205">
        <f>F61+F62</f>
        <v>36103943</v>
      </c>
      <c r="G63" s="205">
        <f>G61+G62</f>
        <v>39540477</v>
      </c>
    </row>
    <row r="64" spans="2:8">
      <c r="B64" s="87"/>
      <c r="C64" s="87"/>
      <c r="D64" s="87"/>
      <c r="E64" s="19"/>
      <c r="F64" s="19"/>
      <c r="G64" s="19"/>
    </row>
    <row r="65" spans="2:7">
      <c r="B65" s="87"/>
      <c r="C65" s="87"/>
      <c r="D65" s="87"/>
      <c r="E65" s="19"/>
      <c r="F65" s="19"/>
      <c r="G65" s="19"/>
    </row>
    <row r="66" spans="2:7">
      <c r="B66" s="206" t="s">
        <v>274</v>
      </c>
      <c r="C66" s="87"/>
      <c r="D66" s="87"/>
      <c r="E66" s="87"/>
      <c r="F66" s="158"/>
      <c r="G66" s="136" t="s">
        <v>4</v>
      </c>
    </row>
    <row r="67" spans="2:7">
      <c r="B67" s="324" t="s">
        <v>5</v>
      </c>
      <c r="C67" s="310" t="s">
        <v>6</v>
      </c>
      <c r="D67" s="335" t="s">
        <v>7</v>
      </c>
      <c r="E67" s="336"/>
      <c r="F67" s="336"/>
      <c r="G67" s="337"/>
    </row>
    <row r="68" spans="2:7" ht="16.149999999999999">
      <c r="B68" s="325"/>
      <c r="C68" s="319"/>
      <c r="D68" s="111" t="s">
        <v>242</v>
      </c>
      <c r="E68" s="79">
        <v>2022</v>
      </c>
      <c r="F68" s="137">
        <v>2023</v>
      </c>
      <c r="G68" s="79">
        <v>2024</v>
      </c>
    </row>
    <row r="69" spans="2:7">
      <c r="B69" s="213" t="s">
        <v>271</v>
      </c>
      <c r="C69" s="166"/>
      <c r="D69" s="167" t="s">
        <v>245</v>
      </c>
      <c r="E69" s="218">
        <f>E70+E71</f>
        <v>16195247</v>
      </c>
      <c r="F69" s="218">
        <f t="shared" ref="F69:G69" si="0">F70+F71</f>
        <v>15906358</v>
      </c>
      <c r="G69" s="218">
        <f t="shared" si="0"/>
        <v>19249834</v>
      </c>
    </row>
    <row r="70" spans="2:7">
      <c r="B70" s="214" t="s">
        <v>275</v>
      </c>
      <c r="C70" s="221" t="s">
        <v>276</v>
      </c>
      <c r="D70" s="168" t="s">
        <v>245</v>
      </c>
      <c r="E70" s="196">
        <v>5722519</v>
      </c>
      <c r="F70" s="196">
        <v>5843641</v>
      </c>
      <c r="G70" s="196">
        <v>6146049</v>
      </c>
    </row>
    <row r="71" spans="2:7">
      <c r="B71" s="215" t="s">
        <v>277</v>
      </c>
      <c r="C71" s="222" t="s">
        <v>278</v>
      </c>
      <c r="D71" s="170" t="s">
        <v>245</v>
      </c>
      <c r="E71" s="219">
        <v>10472728</v>
      </c>
      <c r="F71" s="219">
        <v>10062717</v>
      </c>
      <c r="G71" s="219">
        <v>13103785</v>
      </c>
    </row>
    <row r="72" spans="2:7">
      <c r="B72" s="216" t="s">
        <v>272</v>
      </c>
      <c r="C72" s="223"/>
      <c r="D72" s="171" t="s">
        <v>245</v>
      </c>
      <c r="E72" s="220">
        <f>E73+E74</f>
        <v>3815012</v>
      </c>
      <c r="F72" s="220">
        <f t="shared" ref="F72:G72" si="1">F73+F74</f>
        <v>3581586</v>
      </c>
      <c r="G72" s="220">
        <f t="shared" si="1"/>
        <v>4450588</v>
      </c>
    </row>
    <row r="73" spans="2:7">
      <c r="B73" s="214" t="s">
        <v>275</v>
      </c>
      <c r="C73" s="221" t="s">
        <v>276</v>
      </c>
      <c r="D73" s="168" t="s">
        <v>245</v>
      </c>
      <c r="E73" s="196">
        <v>3815012</v>
      </c>
      <c r="F73" s="196">
        <v>3581586</v>
      </c>
      <c r="G73" s="196">
        <v>4450588</v>
      </c>
    </row>
    <row r="74" spans="2:7">
      <c r="B74" s="215" t="s">
        <v>277</v>
      </c>
      <c r="C74" s="222" t="s">
        <v>278</v>
      </c>
      <c r="D74" s="170" t="s">
        <v>245</v>
      </c>
      <c r="E74" s="219">
        <v>0</v>
      </c>
      <c r="F74" s="219">
        <v>0</v>
      </c>
      <c r="G74" s="219">
        <v>0</v>
      </c>
    </row>
    <row r="75" spans="2:7">
      <c r="B75" s="217" t="s">
        <v>279</v>
      </c>
      <c r="C75" s="164"/>
      <c r="D75" s="165" t="s">
        <v>245</v>
      </c>
      <c r="E75" s="205">
        <f>E69+E72</f>
        <v>20010259</v>
      </c>
      <c r="F75" s="205">
        <f t="shared" ref="F75:G75" si="2">F69+F72</f>
        <v>19487944</v>
      </c>
      <c r="G75" s="205">
        <f t="shared" si="2"/>
        <v>23700422</v>
      </c>
    </row>
    <row r="76" spans="2:7">
      <c r="B76" s="87"/>
      <c r="C76" s="87"/>
      <c r="D76" s="87"/>
      <c r="E76" s="87"/>
      <c r="F76" s="158"/>
      <c r="G76" s="87"/>
    </row>
    <row r="77" spans="2:7">
      <c r="B77" s="203" t="s">
        <v>280</v>
      </c>
      <c r="C77" s="87"/>
      <c r="D77" s="87"/>
      <c r="E77" s="87"/>
      <c r="F77" s="158"/>
      <c r="G77" s="87"/>
    </row>
    <row r="78" spans="2:7">
      <c r="B78" s="204" t="s">
        <v>281</v>
      </c>
      <c r="C78" s="87"/>
      <c r="D78" s="87"/>
      <c r="E78" s="87"/>
      <c r="F78" s="158"/>
      <c r="G78" s="87"/>
    </row>
    <row r="79" spans="2:7">
      <c r="B79" s="87"/>
      <c r="C79" s="87"/>
      <c r="D79" s="87"/>
      <c r="E79" s="87"/>
      <c r="F79" s="158"/>
      <c r="G79" s="87"/>
    </row>
    <row r="80" spans="2:7">
      <c r="B80" s="248" t="s">
        <v>282</v>
      </c>
      <c r="C80" s="249"/>
      <c r="D80" s="249"/>
      <c r="E80" s="249"/>
      <c r="F80" s="250"/>
      <c r="G80" s="87"/>
    </row>
    <row r="81" spans="2:8">
      <c r="B81" s="251"/>
      <c r="C81" s="252"/>
      <c r="D81" s="252">
        <v>2022</v>
      </c>
      <c r="E81" s="252">
        <v>2023</v>
      </c>
      <c r="F81" s="253">
        <v>2024</v>
      </c>
      <c r="G81" s="87"/>
    </row>
    <row r="82" spans="2:8">
      <c r="B82" s="254" t="s">
        <v>271</v>
      </c>
      <c r="C82" s="255"/>
      <c r="D82" s="255"/>
      <c r="E82" s="255"/>
      <c r="F82" s="255"/>
      <c r="G82" s="87"/>
    </row>
    <row r="83" spans="2:8">
      <c r="B83" s="256" t="s">
        <v>272</v>
      </c>
      <c r="C83" s="257"/>
      <c r="D83" s="257"/>
      <c r="E83" s="257"/>
      <c r="F83" s="257"/>
      <c r="G83" s="87"/>
    </row>
    <row r="84" spans="2:8">
      <c r="B84" s="258"/>
      <c r="C84" s="258"/>
      <c r="D84" s="258"/>
      <c r="E84" s="258"/>
      <c r="F84" s="258"/>
      <c r="G84" s="87"/>
    </row>
    <row r="85" spans="2:8">
      <c r="B85" s="85"/>
      <c r="C85" s="85"/>
      <c r="D85" s="85"/>
      <c r="E85" s="85"/>
      <c r="F85" s="85"/>
      <c r="G85" s="87"/>
    </row>
    <row r="86" spans="2:8">
      <c r="B86" s="52"/>
      <c r="C86" s="87"/>
      <c r="D86" s="158"/>
      <c r="E86" s="158"/>
      <c r="F86" s="158"/>
      <c r="G86" s="87"/>
    </row>
    <row r="87" spans="2:8">
      <c r="B87" s="206" t="s">
        <v>283</v>
      </c>
      <c r="C87" s="87"/>
      <c r="D87" s="87"/>
      <c r="E87" s="87"/>
      <c r="F87" s="158"/>
      <c r="G87" s="87"/>
    </row>
    <row r="88" spans="2:8">
      <c r="B88" s="324" t="s">
        <v>5</v>
      </c>
      <c r="C88" s="310" t="s">
        <v>6</v>
      </c>
      <c r="D88" s="335" t="s">
        <v>7</v>
      </c>
      <c r="E88" s="336"/>
      <c r="F88" s="336"/>
      <c r="G88" s="337"/>
    </row>
    <row r="89" spans="2:8" ht="16.149999999999999">
      <c r="B89" s="325"/>
      <c r="C89" s="338"/>
      <c r="D89" s="111" t="s">
        <v>242</v>
      </c>
      <c r="E89" s="79">
        <v>2022</v>
      </c>
      <c r="F89" s="137">
        <v>2023</v>
      </c>
      <c r="G89" s="79">
        <v>2024</v>
      </c>
    </row>
    <row r="90" spans="2:8">
      <c r="B90" s="207" t="s">
        <v>284</v>
      </c>
      <c r="C90" s="153"/>
      <c r="D90" s="245" t="s">
        <v>245</v>
      </c>
      <c r="E90" s="226">
        <v>0.23</v>
      </c>
      <c r="F90" s="226">
        <v>0.23</v>
      </c>
      <c r="G90" s="226">
        <v>0.23</v>
      </c>
    </row>
    <row r="91" spans="2:8">
      <c r="B91" s="208" t="s">
        <v>252</v>
      </c>
      <c r="C91" s="141"/>
      <c r="D91" s="191" t="s">
        <v>245</v>
      </c>
      <c r="E91" s="227">
        <v>0.23</v>
      </c>
      <c r="F91" s="227">
        <v>0.23</v>
      </c>
      <c r="G91" s="227">
        <v>0.23</v>
      </c>
    </row>
    <row r="92" spans="2:8">
      <c r="B92" s="209" t="s">
        <v>285</v>
      </c>
      <c r="C92" s="169"/>
      <c r="D92" s="191" t="s">
        <v>245</v>
      </c>
      <c r="E92" s="228">
        <v>0.23</v>
      </c>
      <c r="F92" s="228">
        <v>0.23</v>
      </c>
      <c r="G92" s="228">
        <v>0.23</v>
      </c>
    </row>
    <row r="93" spans="2:8">
      <c r="B93" s="210" t="s">
        <v>286</v>
      </c>
      <c r="C93" s="156"/>
      <c r="D93" s="247" t="s">
        <v>245</v>
      </c>
      <c r="E93" s="229">
        <v>0.06</v>
      </c>
      <c r="F93" s="229">
        <v>0.06</v>
      </c>
      <c r="G93" s="229">
        <v>0.06</v>
      </c>
    </row>
    <row r="94" spans="2:8">
      <c r="B94" s="87"/>
      <c r="C94" s="87"/>
      <c r="D94" s="87"/>
      <c r="E94" s="87"/>
      <c r="F94" s="158"/>
      <c r="G94" s="87"/>
    </row>
    <row r="95" spans="2:8">
      <c r="B95" s="172"/>
      <c r="C95" s="173"/>
      <c r="D95" s="174"/>
      <c r="E95" s="175"/>
      <c r="F95" s="175"/>
      <c r="G95" s="175"/>
    </row>
    <row r="96" spans="2:8">
      <c r="B96" s="275" t="s">
        <v>287</v>
      </c>
      <c r="C96" s="276"/>
      <c r="D96" s="277"/>
      <c r="E96" s="278"/>
      <c r="F96" s="279"/>
      <c r="G96" s="280"/>
      <c r="H96" s="150"/>
    </row>
    <row r="97" spans="2:15">
      <c r="B97" s="326" t="s">
        <v>288</v>
      </c>
      <c r="C97" s="328" t="s">
        <v>6</v>
      </c>
      <c r="D97" s="330" t="s">
        <v>289</v>
      </c>
      <c r="E97" s="331"/>
      <c r="F97" s="331"/>
      <c r="G97" s="332"/>
      <c r="H97" s="326" t="s">
        <v>290</v>
      </c>
      <c r="I97" s="310" t="s">
        <v>6</v>
      </c>
      <c r="J97" s="342" t="s">
        <v>291</v>
      </c>
      <c r="K97" s="343"/>
      <c r="L97" s="343"/>
      <c r="M97" s="343"/>
      <c r="N97" s="343"/>
      <c r="O97" s="344"/>
    </row>
    <row r="98" spans="2:15" ht="16.149999999999999">
      <c r="B98" s="327"/>
      <c r="C98" s="329"/>
      <c r="D98" s="281" t="s">
        <v>292</v>
      </c>
      <c r="E98" s="282">
        <v>2022</v>
      </c>
      <c r="F98" s="283">
        <v>2023</v>
      </c>
      <c r="G98" s="282">
        <v>2024</v>
      </c>
      <c r="H98" s="327"/>
      <c r="I98" s="319"/>
      <c r="J98" s="345">
        <v>2022</v>
      </c>
      <c r="K98" s="346"/>
      <c r="L98" s="345">
        <v>2023</v>
      </c>
      <c r="M98" s="346"/>
      <c r="N98" s="345">
        <v>2024</v>
      </c>
      <c r="O98" s="346"/>
    </row>
    <row r="99" spans="2:15" ht="15.6">
      <c r="B99" s="284" t="s">
        <v>293</v>
      </c>
      <c r="C99" s="285" t="s">
        <v>294</v>
      </c>
      <c r="D99" s="293" t="s">
        <v>245</v>
      </c>
      <c r="E99" s="294">
        <f>E43/(D8+E8)*2</f>
        <v>4.0137634311764581</v>
      </c>
      <c r="F99" s="294">
        <f t="shared" ref="F99:G99" si="3">F43/(E8+F8)*2</f>
        <v>3.9107342872032484</v>
      </c>
      <c r="G99" s="294">
        <f t="shared" si="3"/>
        <v>4.1422584903033917</v>
      </c>
      <c r="H99" s="284" t="s">
        <v>295</v>
      </c>
      <c r="I99" s="177"/>
      <c r="J99" s="302">
        <f>(1/J101)*365</f>
        <v>1.3321167883211678</v>
      </c>
      <c r="K99" s="303"/>
      <c r="L99" s="302">
        <f>(1/L101)*365</f>
        <v>1.2331081081081081</v>
      </c>
      <c r="M99" s="303"/>
      <c r="N99" s="302">
        <f>(1/N101)*365</f>
        <v>1.2414965986394557</v>
      </c>
      <c r="O99" s="303"/>
    </row>
    <row r="100" spans="2:15" ht="15.6">
      <c r="B100" s="286" t="s">
        <v>296</v>
      </c>
      <c r="C100" s="287"/>
      <c r="D100" s="295" t="s">
        <v>245</v>
      </c>
      <c r="E100" s="296">
        <f>(E43/(D10+E10))*2</f>
        <v>4.2198657089383147</v>
      </c>
      <c r="F100" s="296">
        <f t="shared" ref="F100:G100" si="4">(F43/(E10+F10))*2</f>
        <v>4.052625421475831</v>
      </c>
      <c r="G100" s="296">
        <f t="shared" si="4"/>
        <v>4.351720955422012</v>
      </c>
      <c r="H100" s="284" t="s">
        <v>297</v>
      </c>
      <c r="I100" s="266"/>
      <c r="J100" s="304"/>
      <c r="K100" s="304"/>
      <c r="L100" s="304"/>
      <c r="M100" s="304"/>
      <c r="N100" s="304"/>
      <c r="O100" s="304"/>
    </row>
    <row r="101" spans="2:15" ht="15.6">
      <c r="B101" s="288" t="s">
        <v>298</v>
      </c>
      <c r="C101" s="289" t="s">
        <v>294</v>
      </c>
      <c r="D101" s="297" t="s">
        <v>245</v>
      </c>
      <c r="E101" s="298">
        <f>((D8+E8)/2/E43)*365</f>
        <v>90.937098376277831</v>
      </c>
      <c r="F101" s="298">
        <f t="shared" ref="F101:G101" si="5">((E8+F8)/2/F43)*365</f>
        <v>93.332855979082339</v>
      </c>
      <c r="G101" s="298">
        <f t="shared" si="5"/>
        <v>88.116181270296892</v>
      </c>
      <c r="H101" s="288" t="s">
        <v>299</v>
      </c>
      <c r="I101" s="182"/>
      <c r="J101" s="305">
        <v>274</v>
      </c>
      <c r="K101" s="305" t="s">
        <v>300</v>
      </c>
      <c r="L101" s="305">
        <v>296</v>
      </c>
      <c r="M101" s="305" t="s">
        <v>300</v>
      </c>
      <c r="N101" s="305">
        <v>294</v>
      </c>
      <c r="O101" s="305" t="s">
        <v>300</v>
      </c>
    </row>
    <row r="102" spans="2:15" ht="15.6">
      <c r="B102" s="288" t="s">
        <v>301</v>
      </c>
      <c r="C102" s="289"/>
      <c r="D102" s="297" t="s">
        <v>245</v>
      </c>
      <c r="E102" s="298">
        <f>((D10+E10)/2/E43)*365</f>
        <v>86.495643505165262</v>
      </c>
      <c r="F102" s="298">
        <f t="shared" ref="F102:G102" si="6">((E10+F10)/2/F43)*365</f>
        <v>90.065071907652197</v>
      </c>
      <c r="G102" s="298">
        <f t="shared" si="6"/>
        <v>83.874863241226322</v>
      </c>
      <c r="H102" s="288" t="s">
        <v>302</v>
      </c>
      <c r="I102" s="182"/>
      <c r="J102" s="305"/>
      <c r="K102" s="305"/>
      <c r="L102" s="305"/>
      <c r="M102" s="305"/>
      <c r="N102" s="305"/>
      <c r="O102" s="305"/>
    </row>
    <row r="103" spans="2:15" ht="15.6">
      <c r="B103" s="288" t="s">
        <v>303</v>
      </c>
      <c r="C103" s="289"/>
      <c r="D103" s="297" t="s">
        <v>245</v>
      </c>
      <c r="E103" s="298">
        <f>E14/E42*365</f>
        <v>90.438164410413279</v>
      </c>
      <c r="F103" s="298">
        <f t="shared" ref="F103:G103" si="7">F14/F42*365</f>
        <v>97.366283492772425</v>
      </c>
      <c r="G103" s="298">
        <f t="shared" si="7"/>
        <v>98.64315238850628</v>
      </c>
      <c r="H103" s="288" t="s">
        <v>304</v>
      </c>
      <c r="I103" s="182"/>
      <c r="J103" s="305">
        <v>74</v>
      </c>
      <c r="K103" s="305" t="s">
        <v>305</v>
      </c>
      <c r="L103" s="305">
        <v>77</v>
      </c>
      <c r="M103" s="305" t="s">
        <v>305</v>
      </c>
      <c r="N103" s="305">
        <v>68</v>
      </c>
      <c r="O103" s="305" t="s">
        <v>305</v>
      </c>
    </row>
    <row r="104" spans="2:15" ht="15.6">
      <c r="B104" s="290" t="s">
        <v>306</v>
      </c>
      <c r="C104" s="291" t="s">
        <v>307</v>
      </c>
      <c r="D104" s="299" t="s">
        <v>245</v>
      </c>
      <c r="E104" s="300">
        <f>(E29/(E45+E47))*365</f>
        <v>29.399409199455167</v>
      </c>
      <c r="F104" s="300">
        <f t="shared" ref="F104:G104" si="8">(F29/(F45+F47))*365</f>
        <v>29.399741696193082</v>
      </c>
      <c r="G104" s="300">
        <f t="shared" si="8"/>
        <v>12.328833530155709</v>
      </c>
      <c r="H104" s="290" t="s">
        <v>308</v>
      </c>
      <c r="I104" s="267"/>
      <c r="J104" s="306">
        <v>106</v>
      </c>
      <c r="K104" s="306" t="s">
        <v>300</v>
      </c>
      <c r="L104" s="306">
        <v>122</v>
      </c>
      <c r="M104" s="306" t="s">
        <v>300</v>
      </c>
      <c r="N104" s="306">
        <v>114</v>
      </c>
      <c r="O104" s="306" t="s">
        <v>300</v>
      </c>
    </row>
    <row r="105" spans="2:15" ht="15.6">
      <c r="B105" s="284" t="s">
        <v>309</v>
      </c>
      <c r="C105" s="285"/>
      <c r="D105" s="293" t="s">
        <v>245</v>
      </c>
      <c r="E105" s="294">
        <f>E41/E19</f>
        <v>0.79697680992557418</v>
      </c>
      <c r="F105" s="294">
        <f t="shared" ref="F105:G105" si="9">F41/F19</f>
        <v>0.78645166700232427</v>
      </c>
      <c r="G105" s="294">
        <f t="shared" si="9"/>
        <v>0.79073205616581632</v>
      </c>
      <c r="H105" s="284" t="s">
        <v>310</v>
      </c>
      <c r="I105" s="177"/>
      <c r="J105" s="303"/>
      <c r="K105" s="303"/>
      <c r="L105" s="303"/>
      <c r="M105" s="303"/>
      <c r="N105" s="303"/>
      <c r="O105" s="303"/>
    </row>
    <row r="106" spans="2:15" ht="15.6">
      <c r="B106" s="288" t="s">
        <v>311</v>
      </c>
      <c r="C106" s="289"/>
      <c r="D106" s="297" t="s">
        <v>245</v>
      </c>
      <c r="E106" s="298">
        <f>E41/E7</f>
        <v>1.6638006181069198</v>
      </c>
      <c r="F106" s="298">
        <f t="shared" ref="F106:G106" si="10">F41/F7</f>
        <v>1.8674957580212241</v>
      </c>
      <c r="G106" s="298">
        <f t="shared" si="10"/>
        <v>1.9819863970906957</v>
      </c>
      <c r="H106" s="288" t="s">
        <v>312</v>
      </c>
      <c r="I106" s="182"/>
      <c r="J106" s="305"/>
      <c r="K106" s="305"/>
      <c r="L106" s="305"/>
      <c r="M106" s="305"/>
      <c r="N106" s="305"/>
      <c r="O106" s="305"/>
    </row>
    <row r="107" spans="2:15" ht="15.6">
      <c r="B107" s="288" t="s">
        <v>313</v>
      </c>
      <c r="C107" s="289"/>
      <c r="D107" s="297" t="s">
        <v>245</v>
      </c>
      <c r="E107" s="298">
        <f>E41/E17</f>
        <v>1.8372402696997947</v>
      </c>
      <c r="F107" s="298">
        <f t="shared" ref="F107:G107" si="11">F41/F17</f>
        <v>1.5621605977748674</v>
      </c>
      <c r="G107" s="298">
        <f t="shared" si="11"/>
        <v>1.4804932761367096</v>
      </c>
      <c r="H107" s="288" t="s">
        <v>314</v>
      </c>
      <c r="I107" s="182"/>
      <c r="J107" s="305"/>
      <c r="K107" s="305"/>
      <c r="L107" s="305"/>
      <c r="M107" s="305"/>
      <c r="N107" s="305"/>
      <c r="O107" s="305"/>
    </row>
    <row r="108" spans="2:15" ht="15.6">
      <c r="B108" s="288" t="s">
        <v>315</v>
      </c>
      <c r="C108" s="289"/>
      <c r="D108" s="297" t="s">
        <v>245</v>
      </c>
      <c r="E108" s="298">
        <f>E41/E22</f>
        <v>1.7407906155958268</v>
      </c>
      <c r="F108" s="298">
        <f t="shared" ref="F108:G108" si="12">F41/F22</f>
        <v>1.6779532173132941</v>
      </c>
      <c r="G108" s="298">
        <f t="shared" si="12"/>
        <v>1.6897438274133398</v>
      </c>
      <c r="H108" s="288" t="s">
        <v>316</v>
      </c>
      <c r="I108" s="182"/>
      <c r="J108" s="305"/>
      <c r="K108" s="305"/>
      <c r="L108" s="305"/>
      <c r="M108" s="305"/>
      <c r="N108" s="305"/>
      <c r="O108" s="305"/>
    </row>
    <row r="109" spans="2:15" ht="15.6">
      <c r="B109" s="292" t="s">
        <v>317</v>
      </c>
      <c r="C109" s="291"/>
      <c r="D109" s="299" t="s">
        <v>245</v>
      </c>
      <c r="E109" s="300">
        <f>E41/E24</f>
        <v>1.8260396730147554</v>
      </c>
      <c r="F109" s="300">
        <f t="shared" ref="F109:G109" si="13">F41/F24</f>
        <v>1.8815266405237723</v>
      </c>
      <c r="G109" s="300">
        <f t="shared" si="13"/>
        <v>1.8751376815326206</v>
      </c>
      <c r="H109" s="290" t="s">
        <v>318</v>
      </c>
      <c r="I109" s="267"/>
      <c r="J109" s="306"/>
      <c r="K109" s="306"/>
      <c r="L109" s="306"/>
      <c r="M109" s="306"/>
      <c r="N109" s="306"/>
      <c r="O109" s="306"/>
    </row>
    <row r="110" spans="2:15">
      <c r="B110" s="286" t="s">
        <v>319</v>
      </c>
      <c r="C110" s="287"/>
      <c r="D110" s="295" t="s">
        <v>245</v>
      </c>
      <c r="E110" s="296">
        <f>+E101+E103</f>
        <v>181.37526278669111</v>
      </c>
      <c r="F110" s="296">
        <f t="shared" ref="F110:G110" si="14">+F101+F103</f>
        <v>190.69913947185478</v>
      </c>
      <c r="G110" s="296">
        <f t="shared" si="14"/>
        <v>186.75933365880317</v>
      </c>
      <c r="H110" s="286" t="s">
        <v>320</v>
      </c>
      <c r="I110" s="266" t="s">
        <v>321</v>
      </c>
      <c r="J110" s="304">
        <f>(J104+J111)</f>
        <v>404</v>
      </c>
      <c r="K110" s="304"/>
      <c r="L110" s="304">
        <f>L111+L104</f>
        <v>428</v>
      </c>
      <c r="M110" s="304"/>
      <c r="N110" s="304">
        <f>N111+N104</f>
        <v>394</v>
      </c>
      <c r="O110" s="304"/>
    </row>
    <row r="111" spans="2:15">
      <c r="B111" s="290" t="s">
        <v>322</v>
      </c>
      <c r="C111" s="291"/>
      <c r="D111" s="299" t="s">
        <v>245</v>
      </c>
      <c r="E111" s="300">
        <f>+E110-E104</f>
        <v>151.97585358723595</v>
      </c>
      <c r="F111" s="300">
        <f t="shared" ref="F111:G111" si="15">+F110-F104</f>
        <v>161.2993977756617</v>
      </c>
      <c r="G111" s="300">
        <f t="shared" si="15"/>
        <v>174.43050012864745</v>
      </c>
      <c r="H111" s="290" t="s">
        <v>323</v>
      </c>
      <c r="I111" s="267" t="s">
        <v>321</v>
      </c>
      <c r="J111" s="306">
        <v>298</v>
      </c>
      <c r="K111" s="306" t="s">
        <v>300</v>
      </c>
      <c r="L111" s="306">
        <v>306</v>
      </c>
      <c r="M111" s="306" t="s">
        <v>300</v>
      </c>
      <c r="N111" s="306">
        <v>280</v>
      </c>
      <c r="O111" s="306" t="s">
        <v>300</v>
      </c>
    </row>
    <row r="112" spans="2:15">
      <c r="B112" s="286" t="s">
        <v>324</v>
      </c>
      <c r="C112" s="287"/>
      <c r="D112" s="295" t="s">
        <v>245</v>
      </c>
      <c r="E112" s="296">
        <f>E16/E30</f>
        <v>2.285312016889224</v>
      </c>
      <c r="F112" s="296">
        <f t="shared" ref="F112:G112" si="16">F16/F30</f>
        <v>2.0440082781207205</v>
      </c>
      <c r="G112" s="296">
        <f t="shared" si="16"/>
        <v>2.3018572574717031</v>
      </c>
      <c r="H112" s="286" t="s">
        <v>325</v>
      </c>
      <c r="I112" s="266"/>
      <c r="J112" s="304">
        <v>1.67</v>
      </c>
      <c r="K112" s="304" t="s">
        <v>305</v>
      </c>
      <c r="L112" s="304">
        <v>1.84</v>
      </c>
      <c r="M112" s="304" t="s">
        <v>305</v>
      </c>
      <c r="N112" s="304">
        <v>1.97</v>
      </c>
      <c r="O112" s="304" t="s">
        <v>305</v>
      </c>
    </row>
    <row r="113" spans="2:16">
      <c r="B113" s="288" t="s">
        <v>326</v>
      </c>
      <c r="C113" s="289"/>
      <c r="D113" s="297" t="s">
        <v>245</v>
      </c>
      <c r="E113" s="298">
        <f>(E16-E8)/E30</f>
        <v>2.0070796424386246</v>
      </c>
      <c r="F113" s="298">
        <f t="shared" ref="F113:G113" si="17">(F16-F8)/F30</f>
        <v>1.8569460956256574</v>
      </c>
      <c r="G113" s="298">
        <f t="shared" si="17"/>
        <v>2.0788740870858318</v>
      </c>
      <c r="H113" s="288" t="s">
        <v>327</v>
      </c>
      <c r="I113" s="182"/>
      <c r="J113" s="305">
        <v>1.22</v>
      </c>
      <c r="K113" s="305" t="s">
        <v>305</v>
      </c>
      <c r="L113" s="305">
        <v>1.0900000000000001</v>
      </c>
      <c r="M113" s="305" t="s">
        <v>305</v>
      </c>
      <c r="N113" s="305">
        <v>1.22</v>
      </c>
      <c r="O113" s="305" t="s">
        <v>305</v>
      </c>
    </row>
    <row r="114" spans="2:16">
      <c r="B114" s="290" t="s">
        <v>328</v>
      </c>
      <c r="C114" s="291"/>
      <c r="D114" s="299" t="s">
        <v>245</v>
      </c>
      <c r="E114" s="300">
        <f>E15/E30</f>
        <v>0.25366269657107271</v>
      </c>
      <c r="F114" s="300">
        <f t="shared" ref="F114:G114" si="18">F15/F30</f>
        <v>0.32684210813129339</v>
      </c>
      <c r="G114" s="300">
        <f t="shared" si="18"/>
        <v>0.15046776701660472</v>
      </c>
      <c r="H114" s="290" t="s">
        <v>329</v>
      </c>
      <c r="I114" s="267"/>
      <c r="J114" s="306"/>
      <c r="K114" s="306"/>
      <c r="L114" s="306"/>
      <c r="M114" s="306"/>
      <c r="N114" s="306"/>
      <c r="O114" s="306"/>
    </row>
    <row r="115" spans="2:16">
      <c r="C115" s="1"/>
      <c r="F115" s="52"/>
    </row>
    <row r="116" spans="2:16">
      <c r="B116" s="202" t="s">
        <v>238</v>
      </c>
      <c r="C116" s="202"/>
      <c r="D116" s="202"/>
      <c r="E116" s="202"/>
      <c r="F116" s="203"/>
      <c r="G116" s="202"/>
      <c r="I116" s="334" t="s">
        <v>238</v>
      </c>
      <c r="J116" s="334"/>
      <c r="K116" s="334"/>
      <c r="L116" s="334"/>
      <c r="M116" s="334"/>
      <c r="N116" s="334"/>
      <c r="O116" s="334"/>
    </row>
    <row r="117" spans="2:16">
      <c r="B117" s="333" t="s">
        <v>330</v>
      </c>
      <c r="C117" s="333"/>
      <c r="D117" s="333"/>
      <c r="E117" s="333"/>
      <c r="F117" s="333"/>
      <c r="G117" s="333"/>
      <c r="I117" s="341" t="s">
        <v>331</v>
      </c>
      <c r="J117" s="341"/>
      <c r="K117" s="341"/>
      <c r="L117" s="341"/>
      <c r="M117" s="341"/>
      <c r="N117" s="341"/>
      <c r="O117" s="341"/>
    </row>
    <row r="118" spans="2:16">
      <c r="B118" s="333" t="s">
        <v>332</v>
      </c>
      <c r="C118" s="333"/>
      <c r="D118" s="333"/>
      <c r="E118" s="333"/>
      <c r="F118" s="333"/>
      <c r="G118" s="333"/>
    </row>
    <row r="119" spans="2:16">
      <c r="B119" s="333" t="s">
        <v>333</v>
      </c>
      <c r="C119" s="333"/>
      <c r="D119" s="333"/>
      <c r="E119" s="333"/>
      <c r="F119" s="333"/>
      <c r="G119" s="333"/>
    </row>
    <row r="120" spans="2:16">
      <c r="B120" s="334"/>
      <c r="C120" s="334"/>
      <c r="D120" s="334"/>
      <c r="E120" s="334"/>
      <c r="F120" s="334"/>
      <c r="G120" s="334"/>
    </row>
    <row r="121" spans="2:16">
      <c r="B121" s="133" t="s">
        <v>334</v>
      </c>
      <c r="C121" s="67"/>
      <c r="D121" s="135"/>
      <c r="E121" s="105"/>
      <c r="F121" s="85"/>
      <c r="G121" s="259" t="s">
        <v>335</v>
      </c>
    </row>
    <row r="122" spans="2:16">
      <c r="B122" s="324" t="s">
        <v>336</v>
      </c>
      <c r="C122" s="310" t="s">
        <v>6</v>
      </c>
      <c r="D122" s="335" t="s">
        <v>337</v>
      </c>
      <c r="E122" s="336"/>
      <c r="F122" s="336"/>
      <c r="G122" s="337"/>
      <c r="H122" s="324" t="s">
        <v>290</v>
      </c>
      <c r="I122" s="310" t="s">
        <v>6</v>
      </c>
      <c r="J122" s="342" t="s">
        <v>291</v>
      </c>
      <c r="K122" s="343"/>
      <c r="L122" s="343"/>
      <c r="M122" s="343"/>
      <c r="N122" s="343"/>
      <c r="O122" s="344"/>
    </row>
    <row r="123" spans="2:16" ht="16.149999999999999">
      <c r="B123" s="325"/>
      <c r="C123" s="319"/>
      <c r="D123" s="111" t="s">
        <v>338</v>
      </c>
      <c r="E123" s="79">
        <v>2022</v>
      </c>
      <c r="F123" s="137">
        <v>2023</v>
      </c>
      <c r="G123" s="79">
        <v>2024</v>
      </c>
      <c r="H123" s="325"/>
      <c r="I123" s="319"/>
      <c r="J123" s="345">
        <v>2022</v>
      </c>
      <c r="K123" s="346"/>
      <c r="L123" s="345">
        <v>2023</v>
      </c>
      <c r="M123" s="346"/>
      <c r="N123" s="345">
        <v>2024</v>
      </c>
      <c r="O123" s="346"/>
    </row>
    <row r="124" spans="2:16">
      <c r="B124" s="176" t="s">
        <v>339</v>
      </c>
      <c r="C124" s="177"/>
      <c r="D124" s="178" t="s">
        <v>245</v>
      </c>
      <c r="E124" s="260">
        <f>E21/E18</f>
        <v>0.46932296335003693</v>
      </c>
      <c r="F124" s="260">
        <f>F21/F18</f>
        <v>0.46812408966342867</v>
      </c>
      <c r="G124" s="260">
        <f>G21/G18</f>
        <v>0.46780841021956987</v>
      </c>
      <c r="H124" s="176" t="s">
        <v>340</v>
      </c>
      <c r="I124" s="177"/>
      <c r="J124" s="268"/>
      <c r="K124" s="268"/>
      <c r="L124" s="268"/>
      <c r="M124" s="268"/>
      <c r="N124" s="268"/>
      <c r="O124" s="268"/>
    </row>
    <row r="125" spans="2:16">
      <c r="B125" s="181" t="s">
        <v>341</v>
      </c>
      <c r="C125" s="182"/>
      <c r="D125" s="183" t="s">
        <v>245</v>
      </c>
      <c r="E125" s="261">
        <f>(E25+E30)/E31</f>
        <v>0.53067703664996302</v>
      </c>
      <c r="F125" s="261">
        <f>(F30+F25)/F31</f>
        <v>0.53187591033657133</v>
      </c>
      <c r="G125" s="261">
        <f>(G30+G25)/G31</f>
        <v>0.53219158978043013</v>
      </c>
      <c r="H125" s="181" t="s">
        <v>342</v>
      </c>
      <c r="I125" s="182"/>
      <c r="J125" s="269"/>
      <c r="K125" s="269"/>
      <c r="L125" s="269"/>
      <c r="M125" s="269"/>
      <c r="N125" s="269"/>
      <c r="O125" s="269"/>
      <c r="P125" t="s">
        <v>343</v>
      </c>
    </row>
    <row r="126" spans="2:16">
      <c r="B126" s="181" t="s">
        <v>344</v>
      </c>
      <c r="C126" s="182"/>
      <c r="D126" s="183" t="s">
        <v>245</v>
      </c>
      <c r="E126" s="261">
        <f>E30/(E30+E25)</f>
        <v>0.38228263087396358</v>
      </c>
      <c r="F126" s="261">
        <f>F30/(F30+F25)</f>
        <v>0.49660258285046688</v>
      </c>
      <c r="G126" s="261">
        <f>G30/(G30+G25)</f>
        <v>0.43164226432872654</v>
      </c>
      <c r="H126" s="181" t="s">
        <v>345</v>
      </c>
      <c r="I126" s="182"/>
      <c r="J126" s="269"/>
      <c r="K126" s="269"/>
      <c r="L126" s="269"/>
      <c r="M126" s="269"/>
      <c r="N126" s="269"/>
      <c r="O126" s="269"/>
    </row>
    <row r="127" spans="2:16">
      <c r="B127" s="181" t="s">
        <v>346</v>
      </c>
      <c r="C127" s="186"/>
      <c r="D127" s="183" t="s">
        <v>245</v>
      </c>
      <c r="E127" s="261">
        <f>E30/E25</f>
        <v>0.61886333456160969</v>
      </c>
      <c r="F127" s="261">
        <f>F30/F25</f>
        <v>0.98650204775077754</v>
      </c>
      <c r="G127" s="261">
        <f>G30/G25</f>
        <v>0.75945524664835318</v>
      </c>
      <c r="H127" s="181" t="s">
        <v>347</v>
      </c>
      <c r="I127" s="181"/>
      <c r="J127" s="270"/>
      <c r="K127" s="270"/>
      <c r="L127" s="270"/>
      <c r="M127" s="270"/>
      <c r="N127" s="270"/>
      <c r="O127" s="270"/>
    </row>
    <row r="128" spans="2:16">
      <c r="B128" s="181" t="s">
        <v>348</v>
      </c>
      <c r="C128" s="186"/>
      <c r="D128" s="183" t="s">
        <v>245</v>
      </c>
      <c r="E128" s="261">
        <f>E26/E31</f>
        <v>0.79713138628505331</v>
      </c>
      <c r="F128" s="261">
        <f>F26/F31</f>
        <v>0.73586904917091533</v>
      </c>
      <c r="G128" s="261">
        <f>G26/G31</f>
        <v>0.77028361713047033</v>
      </c>
      <c r="H128" s="181" t="s">
        <v>349</v>
      </c>
      <c r="I128" s="181"/>
      <c r="J128" s="271"/>
      <c r="K128" s="271"/>
      <c r="L128" s="271"/>
      <c r="M128" s="271"/>
      <c r="N128" s="271"/>
      <c r="O128" s="271"/>
    </row>
    <row r="129" spans="2:15">
      <c r="B129" s="181" t="s">
        <v>350</v>
      </c>
      <c r="C129" s="186"/>
      <c r="D129" s="183" t="s">
        <v>245</v>
      </c>
      <c r="E129" s="261">
        <f>E25/E21</f>
        <v>0.69847087940277441</v>
      </c>
      <c r="F129" s="261">
        <f>F25/F21</f>
        <v>0.5719529616602077</v>
      </c>
      <c r="G129" s="261">
        <f>G25/G21</f>
        <v>0.64657924120887689</v>
      </c>
      <c r="H129" s="181" t="s">
        <v>351</v>
      </c>
      <c r="I129" s="181"/>
      <c r="J129" s="271"/>
      <c r="K129" s="271"/>
      <c r="L129" s="271"/>
      <c r="M129" s="271"/>
      <c r="N129" s="271"/>
      <c r="O129" s="271"/>
    </row>
    <row r="130" spans="2:15">
      <c r="B130" s="181" t="s">
        <v>352</v>
      </c>
      <c r="C130" s="186"/>
      <c r="D130" s="183" t="s">
        <v>245</v>
      </c>
      <c r="E130" s="261">
        <f>E26/E5</f>
        <v>1.4861265037288647</v>
      </c>
      <c r="F130" s="261">
        <f>F26/F5</f>
        <v>1.599318449943318</v>
      </c>
      <c r="G130" s="261">
        <f>G26/G5</f>
        <v>1.6346384648352663</v>
      </c>
      <c r="H130" s="181" t="s">
        <v>353</v>
      </c>
      <c r="I130" s="181"/>
      <c r="J130" s="270"/>
      <c r="K130" s="270"/>
      <c r="L130" s="270"/>
      <c r="M130" s="270"/>
      <c r="N130" s="270"/>
      <c r="O130" s="270"/>
    </row>
    <row r="131" spans="2:15">
      <c r="B131" s="181" t="s">
        <v>354</v>
      </c>
      <c r="C131" s="186"/>
      <c r="D131" s="183" t="s">
        <v>245</v>
      </c>
      <c r="E131" s="261">
        <f>E21/E5</f>
        <v>0.87497908957463233</v>
      </c>
      <c r="F131" s="261">
        <f>F21/F5</f>
        <v>1.0174085923373994</v>
      </c>
      <c r="G131" s="261">
        <f>G21/G5</f>
        <v>0.99274813135331164</v>
      </c>
      <c r="H131" s="181" t="s">
        <v>355</v>
      </c>
      <c r="I131" s="181"/>
      <c r="J131" s="270"/>
      <c r="K131" s="270"/>
      <c r="L131" s="270"/>
      <c r="M131" s="270"/>
      <c r="N131" s="270"/>
      <c r="O131" s="270"/>
    </row>
    <row r="132" spans="2:15">
      <c r="B132" s="181" t="s">
        <v>356</v>
      </c>
      <c r="C132" s="186"/>
      <c r="D132" s="183" t="s">
        <v>245</v>
      </c>
      <c r="E132" s="261">
        <f>E21/(E30+E25)</f>
        <v>0.88438528697748131</v>
      </c>
      <c r="F132" s="261">
        <f>F21/(F30+F25)</f>
        <v>0.88013779260504499</v>
      </c>
      <c r="G132" s="261">
        <f>G21/(G25+G30)</f>
        <v>0.87902255353673808</v>
      </c>
      <c r="H132" s="181" t="s">
        <v>357</v>
      </c>
      <c r="I132" s="181"/>
      <c r="J132" s="271"/>
      <c r="K132" s="271"/>
      <c r="L132" s="271"/>
      <c r="M132" s="271"/>
      <c r="N132" s="271"/>
      <c r="O132" s="271"/>
    </row>
    <row r="133" spans="2:15">
      <c r="B133" s="184" t="s">
        <v>358</v>
      </c>
      <c r="C133" s="187"/>
      <c r="D133" s="185" t="s">
        <v>245</v>
      </c>
      <c r="E133" s="262">
        <f>E18/(E25+E30)</f>
        <v>1.8843852869774813</v>
      </c>
      <c r="F133" s="262">
        <f>F18/(F25+F30)</f>
        <v>1.8801377926050449</v>
      </c>
      <c r="G133" s="262">
        <f>G18/(G25+G30)</f>
        <v>1.879022553536738</v>
      </c>
      <c r="H133" s="184" t="s">
        <v>359</v>
      </c>
      <c r="I133" s="184"/>
      <c r="J133" s="272"/>
      <c r="K133" s="272"/>
      <c r="L133" s="272"/>
      <c r="M133" s="272"/>
      <c r="N133" s="272"/>
      <c r="O133" s="272"/>
    </row>
    <row r="134" spans="2:15">
      <c r="B134" s="179" t="s">
        <v>360</v>
      </c>
      <c r="C134" s="188"/>
      <c r="D134" s="180" t="s">
        <v>245</v>
      </c>
      <c r="E134" s="263">
        <f>(E48+E49)/E50</f>
        <v>4.5920004154974245</v>
      </c>
      <c r="F134" s="263">
        <f>(F48+F49)/F50</f>
        <v>4.1776696851665527</v>
      </c>
      <c r="G134" s="263">
        <f>(G48+G49)/G50</f>
        <v>2.6490359184332881</v>
      </c>
      <c r="H134" s="179" t="s">
        <v>361</v>
      </c>
      <c r="I134" s="179"/>
      <c r="J134" s="179"/>
      <c r="K134" s="179"/>
      <c r="L134" s="179"/>
      <c r="M134" s="179"/>
      <c r="N134" s="179"/>
      <c r="O134" s="179"/>
    </row>
    <row r="135" spans="2:15">
      <c r="B135" s="184" t="s">
        <v>362</v>
      </c>
      <c r="C135" s="187"/>
      <c r="D135" s="185" t="s">
        <v>245</v>
      </c>
      <c r="E135" s="262">
        <f>E50/E41</f>
        <v>1.8462639338323608E-2</v>
      </c>
      <c r="F135" s="262">
        <f>F50/F41</f>
        <v>2.6922433375213339E-2</v>
      </c>
      <c r="G135" s="262">
        <f>G50/G41</f>
        <v>2.9117074131402108E-2</v>
      </c>
      <c r="H135" s="184" t="s">
        <v>363</v>
      </c>
      <c r="I135" s="184"/>
      <c r="J135" s="272"/>
      <c r="K135" s="272"/>
      <c r="L135" s="272"/>
      <c r="M135" s="272"/>
      <c r="N135" s="272"/>
      <c r="O135" s="272"/>
    </row>
  </sheetData>
  <mergeCells count="45">
    <mergeCell ref="I97:I98"/>
    <mergeCell ref="J97:O97"/>
    <mergeCell ref="J98:K98"/>
    <mergeCell ref="L98:M98"/>
    <mergeCell ref="N98:O98"/>
    <mergeCell ref="I116:O116"/>
    <mergeCell ref="I117:O117"/>
    <mergeCell ref="I122:I123"/>
    <mergeCell ref="J122:O122"/>
    <mergeCell ref="J123:K123"/>
    <mergeCell ref="L123:M123"/>
    <mergeCell ref="N123:O123"/>
    <mergeCell ref="B39:B40"/>
    <mergeCell ref="C39:C40"/>
    <mergeCell ref="D39:G39"/>
    <mergeCell ref="B3:B4"/>
    <mergeCell ref="C3:C4"/>
    <mergeCell ref="D3:G3"/>
    <mergeCell ref="B35:G35"/>
    <mergeCell ref="B36:G36"/>
    <mergeCell ref="B53:G53"/>
    <mergeCell ref="B54:G54"/>
    <mergeCell ref="B55:G55"/>
    <mergeCell ref="B56:G56"/>
    <mergeCell ref="B59:B60"/>
    <mergeCell ref="C59:C60"/>
    <mergeCell ref="D59:G59"/>
    <mergeCell ref="B67:B68"/>
    <mergeCell ref="C67:C68"/>
    <mergeCell ref="D67:G67"/>
    <mergeCell ref="B88:B89"/>
    <mergeCell ref="C88:C89"/>
    <mergeCell ref="D88:G88"/>
    <mergeCell ref="H122:H123"/>
    <mergeCell ref="B97:B98"/>
    <mergeCell ref="C97:C98"/>
    <mergeCell ref="D97:G97"/>
    <mergeCell ref="H97:H98"/>
    <mergeCell ref="B117:G117"/>
    <mergeCell ref="B118:G118"/>
    <mergeCell ref="B119:G119"/>
    <mergeCell ref="B120:G120"/>
    <mergeCell ref="B122:B123"/>
    <mergeCell ref="C122:C123"/>
    <mergeCell ref="D122:G1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topLeftCell="A13" workbookViewId="0">
      <selection activeCell="F10" sqref="F10"/>
    </sheetView>
  </sheetViews>
  <sheetFormatPr defaultColWidth="9.140625" defaultRowHeight="16.5" customHeight="1"/>
  <cols>
    <col min="1" max="1" width="4.5703125" style="52" customWidth="1"/>
    <col min="2" max="2" width="32.7109375" style="52" customWidth="1"/>
    <col min="3" max="5" width="13.5703125" style="52" customWidth="1"/>
    <col min="6" max="6" width="12" style="52" customWidth="1"/>
    <col min="7" max="7" width="40.28515625" style="52" customWidth="1"/>
    <col min="8" max="10" width="13.5703125" style="52" customWidth="1"/>
    <col min="11" max="11" width="12.7109375" style="52" customWidth="1"/>
    <col min="12" max="16384" width="9.140625" style="52"/>
  </cols>
  <sheetData>
    <row r="1" spans="1:14" ht="16.5" customHeight="1">
      <c r="A1" s="85" t="s">
        <v>364</v>
      </c>
    </row>
    <row r="2" spans="1:14" ht="16.5" customHeight="1">
      <c r="A2" s="85"/>
    </row>
    <row r="3" spans="1:14" ht="16.5" customHeight="1">
      <c r="A3" s="85"/>
      <c r="B3" s="85" t="s">
        <v>365</v>
      </c>
    </row>
    <row r="4" spans="1:14" ht="9" customHeight="1"/>
    <row r="5" spans="1:14" ht="16.5" customHeight="1">
      <c r="B5" s="80"/>
      <c r="C5" s="81">
        <v>2022</v>
      </c>
      <c r="D5" s="81">
        <v>2023</v>
      </c>
      <c r="E5" s="81">
        <v>2024</v>
      </c>
      <c r="H5" s="115"/>
      <c r="I5" s="115"/>
      <c r="J5" s="115"/>
    </row>
    <row r="6" spans="1:14" ht="16.5" customHeight="1">
      <c r="B6" s="80" t="s">
        <v>271</v>
      </c>
      <c r="C6" s="80">
        <v>26155041</v>
      </c>
      <c r="D6" s="80">
        <v>25272760</v>
      </c>
      <c r="E6" s="80">
        <v>26887524</v>
      </c>
      <c r="H6" s="54"/>
      <c r="I6" s="116"/>
      <c r="J6" s="116"/>
      <c r="K6" s="86"/>
    </row>
    <row r="7" spans="1:14" ht="16.5" customHeight="1">
      <c r="B7" s="80" t="s">
        <v>272</v>
      </c>
      <c r="C7" s="80">
        <v>8259486</v>
      </c>
      <c r="D7" s="80">
        <v>10831183</v>
      </c>
      <c r="E7" s="80">
        <v>12652953</v>
      </c>
    </row>
    <row r="8" spans="1:14" ht="16.5" customHeight="1">
      <c r="B8" s="83" t="s">
        <v>273</v>
      </c>
      <c r="C8" s="82">
        <f>C6+C7</f>
        <v>34414527</v>
      </c>
      <c r="D8" s="82">
        <f t="shared" ref="D8:E8" si="0">D6+D7</f>
        <v>36103943</v>
      </c>
      <c r="E8" s="82">
        <f t="shared" si="0"/>
        <v>39540477</v>
      </c>
      <c r="F8" s="102"/>
      <c r="H8" s="115"/>
      <c r="I8" s="115"/>
      <c r="J8" s="115"/>
    </row>
    <row r="9" spans="1:14" ht="16.5" customHeight="1">
      <c r="H9" s="54"/>
      <c r="I9" s="116"/>
      <c r="J9" s="116"/>
    </row>
    <row r="10" spans="1:14" ht="16.5" customHeight="1">
      <c r="G10" s="114"/>
      <c r="H10" s="114"/>
      <c r="I10" s="114"/>
      <c r="J10" s="114"/>
    </row>
    <row r="11" spans="1:14" ht="16.5" customHeight="1">
      <c r="B11" s="85" t="s">
        <v>366</v>
      </c>
    </row>
    <row r="12" spans="1:14" ht="12" customHeight="1"/>
    <row r="13" spans="1:14" ht="16.5" customHeight="1">
      <c r="B13" s="80"/>
      <c r="C13" s="81">
        <v>2022</v>
      </c>
      <c r="D13" s="81">
        <v>2023</v>
      </c>
      <c r="E13" s="81">
        <v>2024</v>
      </c>
      <c r="H13" s="115"/>
      <c r="I13" s="115"/>
      <c r="J13" s="115"/>
    </row>
    <row r="14" spans="1:14" ht="16.5" customHeight="1">
      <c r="B14" s="82" t="s">
        <v>271</v>
      </c>
      <c r="C14" s="82"/>
      <c r="D14" s="82"/>
      <c r="E14" s="82"/>
      <c r="H14" s="54"/>
      <c r="I14" s="116"/>
      <c r="J14" s="116"/>
    </row>
    <row r="15" spans="1:14" ht="16.5" customHeight="1">
      <c r="B15" s="52" t="s">
        <v>275</v>
      </c>
      <c r="C15" s="52">
        <v>5722519</v>
      </c>
      <c r="D15" s="52">
        <v>5843641</v>
      </c>
      <c r="E15" s="52">
        <v>6146049</v>
      </c>
      <c r="H15" s="117"/>
      <c r="I15" s="117"/>
      <c r="J15" s="117"/>
    </row>
    <row r="16" spans="1:14" ht="16.5" customHeight="1">
      <c r="B16" s="52" t="s">
        <v>277</v>
      </c>
      <c r="C16" s="52">
        <f>-('DR Contab'!D12)</f>
        <v>10472728</v>
      </c>
      <c r="D16" s="52">
        <f>-('DR Contab'!E12)</f>
        <v>10062717</v>
      </c>
      <c r="E16" s="52">
        <f>-('DR Contab'!F12)</f>
        <v>13103785</v>
      </c>
      <c r="G16" s="114"/>
      <c r="H16" s="114"/>
      <c r="I16" s="114"/>
      <c r="J16" s="114"/>
      <c r="L16" s="53"/>
      <c r="M16" s="53"/>
      <c r="N16" s="53"/>
    </row>
    <row r="17" spans="2:14" ht="16.5" customHeight="1">
      <c r="B17" s="82" t="s">
        <v>272</v>
      </c>
      <c r="C17" s="82"/>
      <c r="D17" s="82"/>
      <c r="E17" s="82"/>
      <c r="G17" s="114"/>
      <c r="H17" s="114"/>
      <c r="I17" s="114"/>
      <c r="J17" s="114"/>
      <c r="L17" s="53"/>
      <c r="M17" s="53"/>
      <c r="N17" s="53"/>
    </row>
    <row r="18" spans="2:14" ht="16.5" customHeight="1">
      <c r="B18" s="52" t="s">
        <v>275</v>
      </c>
      <c r="C18" s="52">
        <v>3815012</v>
      </c>
      <c r="D18" s="52">
        <v>3581586</v>
      </c>
      <c r="E18" s="52">
        <v>4450588</v>
      </c>
      <c r="G18" s="114"/>
      <c r="H18" s="114"/>
      <c r="I18" s="114"/>
      <c r="J18" s="114"/>
      <c r="L18" s="53"/>
      <c r="M18" s="53"/>
      <c r="N18" s="53"/>
    </row>
    <row r="19" spans="2:14" ht="16.5" customHeight="1">
      <c r="B19" s="104" t="s">
        <v>277</v>
      </c>
      <c r="C19" s="104">
        <v>0</v>
      </c>
      <c r="D19" s="104">
        <v>0</v>
      </c>
      <c r="E19" s="104">
        <v>0</v>
      </c>
      <c r="G19" s="114"/>
      <c r="H19" s="114"/>
      <c r="I19" s="114"/>
      <c r="J19" s="114"/>
      <c r="L19" s="53"/>
      <c r="M19" s="53"/>
      <c r="N19" s="53"/>
    </row>
    <row r="20" spans="2:14" ht="16.5" customHeight="1">
      <c r="B20" s="103"/>
      <c r="C20" s="85"/>
      <c r="D20" s="85"/>
      <c r="E20" s="85"/>
      <c r="G20" s="114"/>
      <c r="H20" s="114"/>
      <c r="I20" s="114"/>
      <c r="J20" s="114"/>
      <c r="L20" s="53"/>
      <c r="M20" s="53"/>
      <c r="N20" s="53"/>
    </row>
    <row r="22" spans="2:14" ht="16.5" customHeight="1">
      <c r="B22" s="84" t="s">
        <v>367</v>
      </c>
      <c r="C22" s="87"/>
      <c r="D22" s="87"/>
      <c r="E22" s="87"/>
      <c r="F22" s="87"/>
      <c r="G22" s="87"/>
    </row>
    <row r="23" spans="2:14" ht="16.5" customHeight="1">
      <c r="B23" s="324" t="s">
        <v>5</v>
      </c>
      <c r="C23" s="347" t="s">
        <v>7</v>
      </c>
      <c r="D23" s="348"/>
      <c r="E23" s="349"/>
      <c r="F23" s="105"/>
    </row>
    <row r="24" spans="2:14" ht="16.5" customHeight="1">
      <c r="B24" s="325"/>
      <c r="C24" s="79">
        <v>2022</v>
      </c>
      <c r="D24" s="79">
        <v>2023</v>
      </c>
      <c r="E24" s="79">
        <v>2024</v>
      </c>
    </row>
    <row r="25" spans="2:14" ht="16.5" customHeight="1">
      <c r="B25" s="106" t="s">
        <v>284</v>
      </c>
      <c r="C25" s="112">
        <v>0.23</v>
      </c>
      <c r="D25" s="112">
        <v>0.23</v>
      </c>
      <c r="E25" s="112">
        <v>0.23</v>
      </c>
    </row>
    <row r="26" spans="2:14" ht="16.5" customHeight="1">
      <c r="B26" s="107" t="s">
        <v>252</v>
      </c>
      <c r="C26" s="108">
        <v>0.23</v>
      </c>
      <c r="D26" s="108">
        <v>0.23</v>
      </c>
      <c r="E26" s="108">
        <v>0.23</v>
      </c>
    </row>
    <row r="27" spans="2:14" ht="16.5" customHeight="1">
      <c r="B27" s="107" t="s">
        <v>285</v>
      </c>
      <c r="C27" s="108">
        <v>0.23</v>
      </c>
      <c r="D27" s="108">
        <v>0.23</v>
      </c>
      <c r="E27" s="108">
        <v>0.23</v>
      </c>
      <c r="H27" s="102"/>
    </row>
    <row r="28" spans="2:14" ht="16.5" customHeight="1">
      <c r="B28" s="109" t="s">
        <v>368</v>
      </c>
      <c r="C28" s="110">
        <v>0.06</v>
      </c>
      <c r="D28" s="110">
        <v>0.06</v>
      </c>
      <c r="E28" s="110">
        <v>0.06</v>
      </c>
      <c r="H28" s="102"/>
    </row>
  </sheetData>
  <mergeCells count="2">
    <mergeCell ref="B23:B24"/>
    <mergeCell ref="C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Inês Costa</cp:lastModifiedBy>
  <cp:revision/>
  <dcterms:created xsi:type="dcterms:W3CDTF">2025-10-07T15:58:25Z</dcterms:created>
  <dcterms:modified xsi:type="dcterms:W3CDTF">2025-12-03T18:01:57Z</dcterms:modified>
  <cp:category/>
  <cp:contentStatus/>
</cp:coreProperties>
</file>